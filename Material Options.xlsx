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5" windowWidth="14805" windowHeight="8010" activeTab="1"/>
  </bookViews>
  <sheets>
    <sheet name="Database" sheetId="1" r:id="rId1"/>
    <sheet name="M01" sheetId="2" r:id="rId2"/>
    <sheet name="M02" sheetId="3" r:id="rId3"/>
    <sheet name="M03" sheetId="4" r:id="rId4"/>
    <sheet name="M04" sheetId="5" r:id="rId5"/>
    <sheet name="M05" sheetId="6" r:id="rId6"/>
    <sheet name="M06" sheetId="7" r:id="rId7"/>
    <sheet name="M07&amp;M08" sheetId="8" r:id="rId8"/>
    <sheet name="Social" sheetId="9" r:id="rId9"/>
  </sheets>
  <calcPr calcId="152511"/>
</workbook>
</file>

<file path=xl/calcChain.xml><?xml version="1.0" encoding="utf-8"?>
<calcChain xmlns="http://schemas.openxmlformats.org/spreadsheetml/2006/main">
  <c r="D14" i="1" l="1"/>
  <c r="R4" i="6"/>
  <c r="R25" i="6"/>
  <c r="R24" i="6"/>
  <c r="J19" i="2" l="1"/>
  <c r="E4" i="1" l="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 i="1"/>
  <c r="D33" i="1" l="1"/>
  <c r="D32" i="1"/>
  <c r="D31" i="1"/>
  <c r="D30" i="1"/>
  <c r="D29" i="1"/>
  <c r="D28" i="1"/>
  <c r="D27" i="1"/>
  <c r="D26" i="1"/>
  <c r="C32" i="1"/>
  <c r="C31" i="1"/>
  <c r="C29" i="1"/>
  <c r="C28" i="1"/>
  <c r="C27" i="1"/>
  <c r="C26" i="1"/>
  <c r="T41" i="4"/>
  <c r="D24" i="1" s="1"/>
  <c r="D23" i="1"/>
  <c r="T38" i="4"/>
  <c r="T35" i="4"/>
  <c r="U35" i="4"/>
  <c r="D22" i="1"/>
  <c r="R40" i="4"/>
  <c r="T40" i="4" s="1"/>
  <c r="R39" i="4"/>
  <c r="T39" i="4" s="1"/>
  <c r="R37" i="4"/>
  <c r="T37" i="4" s="1"/>
  <c r="R36" i="4"/>
  <c r="T36" i="4" s="1"/>
  <c r="T34" i="4"/>
  <c r="R34" i="4"/>
  <c r="T33" i="4"/>
  <c r="R33" i="4"/>
  <c r="T32" i="4"/>
  <c r="R32" i="4"/>
  <c r="T31" i="4"/>
  <c r="R29" i="4"/>
  <c r="T29" i="4" s="1"/>
  <c r="T28" i="4"/>
  <c r="R27" i="4"/>
  <c r="T27" i="4" s="1"/>
  <c r="T30" i="4" l="1"/>
  <c r="D25" i="1" s="1"/>
  <c r="D21" i="1" l="1"/>
  <c r="D20" i="1"/>
  <c r="D19" i="1"/>
  <c r="D18" i="1"/>
  <c r="D17" i="1"/>
  <c r="D16" i="1"/>
  <c r="C24" i="1"/>
  <c r="C23" i="1"/>
  <c r="C22" i="1"/>
  <c r="C21" i="1"/>
  <c r="C20" i="1"/>
  <c r="C19" i="1"/>
  <c r="C18" i="1"/>
  <c r="C17" i="1"/>
  <c r="C16" i="1"/>
  <c r="D15" i="1"/>
  <c r="D13" i="1"/>
  <c r="D12" i="1"/>
  <c r="D10" i="1"/>
  <c r="C15" i="1"/>
  <c r="C14" i="1"/>
  <c r="C13" i="1"/>
  <c r="C12" i="1"/>
  <c r="C11" i="1"/>
  <c r="C10" i="1"/>
  <c r="D9" i="1"/>
  <c r="D8" i="1"/>
  <c r="D7" i="1"/>
  <c r="D6" i="1"/>
  <c r="D4" i="1"/>
  <c r="D3" i="1"/>
  <c r="C9" i="1"/>
  <c r="C8" i="1"/>
  <c r="C7" i="1"/>
  <c r="C6" i="1"/>
  <c r="C4" i="1"/>
  <c r="C3" i="1"/>
  <c r="R6" i="8" l="1"/>
  <c r="T6" i="8" s="1"/>
  <c r="R5" i="8"/>
  <c r="T5" i="8" s="1"/>
  <c r="R4" i="8"/>
  <c r="T4" i="8" s="1"/>
  <c r="R3" i="8"/>
  <c r="T3" i="8" s="1"/>
  <c r="T23" i="6"/>
  <c r="R21" i="6"/>
  <c r="T21" i="6" s="1"/>
  <c r="R20" i="6"/>
  <c r="T20" i="6" s="1"/>
  <c r="R19" i="6"/>
  <c r="T19" i="6" s="1"/>
  <c r="T22" i="6" s="1"/>
  <c r="R15" i="6"/>
  <c r="T15" i="6" s="1"/>
  <c r="T13" i="6"/>
  <c r="R13" i="6"/>
  <c r="T12" i="6"/>
  <c r="R12" i="6"/>
  <c r="T11" i="6"/>
  <c r="T14" i="6" s="1"/>
  <c r="R11" i="6"/>
  <c r="T7" i="6"/>
  <c r="T5" i="6"/>
  <c r="R5" i="6"/>
  <c r="T4" i="6"/>
  <c r="T3" i="6"/>
  <c r="T6" i="6" s="1"/>
  <c r="D11" i="1" s="1"/>
  <c r="R3" i="6"/>
  <c r="R34" i="5"/>
  <c r="T34" i="5" s="1"/>
  <c r="T33" i="5"/>
  <c r="R33" i="5"/>
  <c r="R32" i="5"/>
  <c r="T32" i="5" s="1"/>
  <c r="T31" i="5"/>
  <c r="R29" i="5"/>
  <c r="T29" i="5" s="1"/>
  <c r="T28" i="5"/>
  <c r="T27" i="5"/>
  <c r="T30" i="5" s="1"/>
  <c r="R27" i="5"/>
  <c r="R24" i="5"/>
  <c r="T24" i="5" s="1"/>
  <c r="R21" i="5"/>
  <c r="T21" i="5" s="1"/>
  <c r="T20" i="5"/>
  <c r="R20" i="5"/>
  <c r="R19" i="5"/>
  <c r="T19" i="5" s="1"/>
  <c r="T17" i="5"/>
  <c r="R17" i="5"/>
  <c r="R16" i="5"/>
  <c r="T16" i="5" s="1"/>
  <c r="T18" i="5" s="1"/>
  <c r="T15" i="5"/>
  <c r="R15" i="5"/>
  <c r="T13" i="5"/>
  <c r="R13" i="5"/>
  <c r="R12" i="5"/>
  <c r="T12" i="5" s="1"/>
  <c r="T11" i="5"/>
  <c r="T14" i="5" s="1"/>
  <c r="R11" i="5"/>
  <c r="R9" i="5"/>
  <c r="T9" i="5" s="1"/>
  <c r="R8" i="5"/>
  <c r="T8" i="5" s="1"/>
  <c r="R7" i="5"/>
  <c r="T7" i="5" s="1"/>
  <c r="R5" i="5"/>
  <c r="T5" i="5" s="1"/>
  <c r="T4" i="5"/>
  <c r="R4" i="5"/>
  <c r="R3" i="5"/>
  <c r="T3" i="5" s="1"/>
  <c r="R24" i="4"/>
  <c r="T24" i="4" s="1"/>
  <c r="T21" i="4"/>
  <c r="R21" i="4"/>
  <c r="R20" i="4"/>
  <c r="T20" i="4" s="1"/>
  <c r="T19" i="4"/>
  <c r="R19" i="4"/>
  <c r="R17" i="4"/>
  <c r="T17" i="4" s="1"/>
  <c r="R16" i="4"/>
  <c r="T16" i="4" s="1"/>
  <c r="R15" i="4"/>
  <c r="T15" i="4" s="1"/>
  <c r="T13" i="4"/>
  <c r="R13" i="4"/>
  <c r="T12" i="4"/>
  <c r="R12" i="4"/>
  <c r="T11" i="4"/>
  <c r="T14" i="4" s="1"/>
  <c r="R11" i="4"/>
  <c r="R9" i="4"/>
  <c r="T9" i="4" s="1"/>
  <c r="R8" i="4"/>
  <c r="T8" i="4" s="1"/>
  <c r="R7" i="4"/>
  <c r="T7" i="4" s="1"/>
  <c r="T5" i="4"/>
  <c r="R5" i="4"/>
  <c r="T4" i="4"/>
  <c r="R4" i="4"/>
  <c r="T3" i="4"/>
  <c r="T6" i="4" s="1"/>
  <c r="R3" i="4"/>
  <c r="T25" i="3"/>
  <c r="T24" i="3"/>
  <c r="T23" i="3"/>
  <c r="T26" i="3" s="1"/>
  <c r="R23" i="3"/>
  <c r="T21" i="3"/>
  <c r="T20" i="3"/>
  <c r="T22" i="3" s="1"/>
  <c r="R20" i="3"/>
  <c r="T18" i="3"/>
  <c r="T17" i="3"/>
  <c r="R16" i="3"/>
  <c r="T16" i="3" s="1"/>
  <c r="T19" i="3" s="1"/>
  <c r="T14" i="3"/>
  <c r="R14" i="3"/>
  <c r="T13" i="3"/>
  <c r="R12" i="3"/>
  <c r="T12" i="3" s="1"/>
  <c r="T15" i="3" s="1"/>
  <c r="T10" i="3"/>
  <c r="R9" i="3"/>
  <c r="T9" i="3" s="1"/>
  <c r="T11" i="3" s="1"/>
  <c r="T7" i="3"/>
  <c r="R6" i="3"/>
  <c r="T6" i="3" s="1"/>
  <c r="T8" i="3" s="1"/>
  <c r="T4" i="3"/>
  <c r="R3" i="3"/>
  <c r="T3" i="3" s="1"/>
  <c r="T5" i="3" s="1"/>
  <c r="T26" i="2"/>
  <c r="T25" i="2"/>
  <c r="T24" i="2"/>
  <c r="T27" i="2" s="1"/>
  <c r="R24" i="2"/>
  <c r="T22" i="2"/>
  <c r="T21" i="2"/>
  <c r="T23" i="2" s="1"/>
  <c r="R21" i="2"/>
  <c r="T19" i="2"/>
  <c r="T18" i="2"/>
  <c r="R17" i="2"/>
  <c r="T17" i="2" s="1"/>
  <c r="T20" i="2" s="1"/>
  <c r="T15" i="2"/>
  <c r="R15" i="2"/>
  <c r="T14" i="2"/>
  <c r="R13" i="2"/>
  <c r="T13" i="2" s="1"/>
  <c r="T16" i="2" s="1"/>
  <c r="T11" i="2"/>
  <c r="R10" i="2"/>
  <c r="T10" i="2" s="1"/>
  <c r="T12" i="2" s="1"/>
  <c r="T8" i="2"/>
  <c r="R7" i="2"/>
  <c r="T7" i="2" s="1"/>
  <c r="T9" i="2" s="1"/>
  <c r="T5" i="2"/>
  <c r="R4" i="2"/>
  <c r="T4" i="2" s="1"/>
  <c r="T6" i="2" l="1"/>
  <c r="D5" i="1" s="1"/>
  <c r="T10" i="5"/>
  <c r="T6" i="5"/>
  <c r="T22" i="5"/>
  <c r="T35" i="5"/>
  <c r="T10" i="4"/>
  <c r="T18" i="4"/>
  <c r="T22" i="4"/>
  <c r="H36" i="6" l="1"/>
  <c r="H33" i="6"/>
  <c r="H29" i="6"/>
  <c r="H25" i="6"/>
  <c r="H18" i="6"/>
  <c r="H9" i="6"/>
  <c r="H62" i="5"/>
  <c r="H56" i="5"/>
  <c r="C33" i="1" s="1"/>
  <c r="H48" i="5"/>
  <c r="H41" i="5"/>
  <c r="H30" i="5"/>
  <c r="H23" i="5"/>
  <c r="C30" i="1" s="1"/>
  <c r="H16" i="5"/>
  <c r="H9" i="5"/>
  <c r="H68" i="4"/>
  <c r="H65" i="4"/>
  <c r="H62" i="4"/>
  <c r="H56" i="4"/>
  <c r="C25" i="1" s="1"/>
  <c r="H48" i="4"/>
  <c r="H41" i="4"/>
  <c r="H30" i="4"/>
  <c r="H23" i="4"/>
  <c r="H16" i="4"/>
  <c r="H9" i="4"/>
  <c r="J80" i="3"/>
  <c r="I65" i="3"/>
  <c r="J62" i="3"/>
  <c r="J57" i="3"/>
  <c r="J50" i="3"/>
  <c r="J34" i="3"/>
  <c r="J18" i="3"/>
  <c r="J3" i="3"/>
  <c r="J81" i="2"/>
  <c r="I66" i="2"/>
  <c r="J63" i="2"/>
  <c r="J58" i="2"/>
  <c r="J51" i="2"/>
  <c r="J35" i="2"/>
  <c r="J4" i="2"/>
  <c r="C5" i="1" s="1"/>
</calcChain>
</file>

<file path=xl/sharedStrings.xml><?xml version="1.0" encoding="utf-8"?>
<sst xmlns="http://schemas.openxmlformats.org/spreadsheetml/2006/main" count="1697" uniqueCount="413">
  <si>
    <t>Material Option</t>
  </si>
  <si>
    <t>Category</t>
  </si>
  <si>
    <t>Structural Floors</t>
  </si>
  <si>
    <t>Architectural Floors</t>
  </si>
  <si>
    <t>Exterior Walls</t>
  </si>
  <si>
    <t>Interior Walls</t>
  </si>
  <si>
    <t>دال بتنی با 25٪ سرباره</t>
  </si>
  <si>
    <t>دال بتنی با 30٪ خاکستر بادی</t>
  </si>
  <si>
    <t>دال بتنی مسلح با بتن درجا</t>
  </si>
  <si>
    <t>دال مجوف (وافل)</t>
  </si>
  <si>
    <t>دال و تیرچه با یونولیت</t>
  </si>
  <si>
    <t>دال و تیرچه بلوک</t>
  </si>
  <si>
    <t>دال کامپوزیت عرشه فولادی</t>
  </si>
  <si>
    <t>کف بتنی</t>
  </si>
  <si>
    <t>کف سرامیک</t>
  </si>
  <si>
    <t>کف سنگ پلاک</t>
  </si>
  <si>
    <t>کف موزاییک</t>
  </si>
  <si>
    <t>کف‌پوش لمینت</t>
  </si>
  <si>
    <t>کف‌پوش وینیل (PVC)</t>
  </si>
  <si>
    <t>خارجی - دیوار آجری مجوف با دو طرف گچ</t>
  </si>
  <si>
    <t>خارجی - دیوار آجری معمولی با دو طرف گچ</t>
  </si>
  <si>
    <t>خارجی - دیوار بلوک بتنی پیش‌ساخته با دو طرف گچ</t>
  </si>
  <si>
    <t>خارجی - دیوار بلوک سبک اتوکلاو شده با دو طرف گچ</t>
  </si>
  <si>
    <t>خارجی - دیوار بلوک سفالی با دو طرف گچ</t>
  </si>
  <si>
    <t>خارجی - دیوار بلوک لیکا با دو طرف گچ</t>
  </si>
  <si>
    <t>خارجی - دیوار تری‌دی پانل با شاتکریت با دو طرف گچ</t>
  </si>
  <si>
    <t>خارجی - دیوار ساندویچ پانل آلومینیومی</t>
  </si>
  <si>
    <t>خارجی - دیوار ساندویچ پانل استیل</t>
  </si>
  <si>
    <t>خارجی - دیوار پانل گچی (کناف) با دو طرف گچ</t>
  </si>
  <si>
    <t>داخلی - دیوار آجری مجوف با دو طرف گچ</t>
  </si>
  <si>
    <t>داخلی - دیوار آجری معمولی با دو طرف گچ</t>
  </si>
  <si>
    <t>داخلی - دیوار بلوک بتنی پیش‌ساخته با دو طرف گچ</t>
  </si>
  <si>
    <t>داخلی - دیوار بلوک سبک اتوکلاو شده با دو طرف گچ</t>
  </si>
  <si>
    <t>داخلی - دیوار بلوک سفالی با دو طرف گچ</t>
  </si>
  <si>
    <t>داخلی - دیوار بلوک لیکا با دو طرف گچ</t>
  </si>
  <si>
    <t>داخلی - دیوار تری‌دی پانل با شاتکریت با دو طرف گچ</t>
  </si>
  <si>
    <t>داخلی - دیوار پانل گچی (کناف) با دو طرف گچ</t>
  </si>
  <si>
    <t>Unit Price</t>
  </si>
  <si>
    <t>Embodied Energy</t>
  </si>
  <si>
    <r>
      <t>(Rials/m</t>
    </r>
    <r>
      <rPr>
        <vertAlign val="superscript"/>
        <sz val="11"/>
        <color theme="1"/>
        <rFont val="Calibri"/>
        <family val="2"/>
        <scheme val="minor"/>
      </rPr>
      <t>2</t>
    </r>
    <r>
      <rPr>
        <sz val="11"/>
        <color theme="1"/>
        <rFont val="Calibri"/>
        <family val="2"/>
        <scheme val="minor"/>
      </rPr>
      <t>)</t>
    </r>
  </si>
  <si>
    <r>
      <t>(MJ/m</t>
    </r>
    <r>
      <rPr>
        <vertAlign val="superscript"/>
        <sz val="11"/>
        <color theme="1"/>
        <rFont val="Calibri"/>
        <family val="2"/>
        <scheme val="minor"/>
      </rPr>
      <t>2</t>
    </r>
    <r>
      <rPr>
        <sz val="11"/>
        <color theme="1"/>
        <rFont val="Calibri"/>
        <family val="2"/>
        <scheme val="minor"/>
      </rPr>
      <t>)</t>
    </r>
  </si>
  <si>
    <t>M01</t>
  </si>
  <si>
    <r>
      <rPr>
        <sz val="14"/>
        <color theme="1"/>
        <rFont val="B Nazanin"/>
        <charset val="178"/>
      </rPr>
      <t>سازه کف</t>
    </r>
    <r>
      <rPr>
        <sz val="14"/>
        <color theme="1"/>
        <rFont val="Times New Roman"/>
        <family val="1"/>
      </rPr>
      <t xml:space="preserve">
</t>
    </r>
    <r>
      <rPr>
        <sz val="12"/>
        <color theme="1"/>
        <rFont val="Times New Roman"/>
        <family val="1"/>
      </rPr>
      <t>Floor Slabs</t>
    </r>
  </si>
  <si>
    <t>#</t>
  </si>
  <si>
    <t>Options</t>
  </si>
  <si>
    <t>گزینه</t>
  </si>
  <si>
    <t>WBS</t>
  </si>
  <si>
    <t>بند فهرست بها</t>
  </si>
  <si>
    <t>شرح بند</t>
  </si>
  <si>
    <t>واحد</t>
  </si>
  <si>
    <t>بهای واحد (ریال)</t>
  </si>
  <si>
    <t>مقدار</t>
  </si>
  <si>
    <t>بهای کل (ریال)</t>
  </si>
  <si>
    <t>In-Situ Reinforced Concrete Slab</t>
  </si>
  <si>
    <t>قالب‌بندی</t>
  </si>
  <si>
    <t>060401</t>
  </si>
  <si>
    <t>تهیه وسایل و قالببندی با استفاده از قالب فولادی در
تاوهها (دالها) تا ارتفاع حداکثر ٣٫۵ متر.</t>
  </si>
  <si>
    <t>متر مربع</t>
  </si>
  <si>
    <t>060402</t>
  </si>
  <si>
    <t>تهیه وسایل و قالببندی با استفاده از قالب فولادی در
تاوهها (دالها) که ارتفاع بیش از ٣٫۵ متر و حداکثر ۵٫۵ متر
باشد.</t>
  </si>
  <si>
    <t>060403</t>
  </si>
  <si>
    <t>تهیه وسایل و قالببندی با استفاده از قالب فولادی در
تاوهها (دالها) که ارتفاع بیش از ۵٫۵متر و حداکثر ٧٫۵متر
باشد</t>
  </si>
  <si>
    <t>060404</t>
  </si>
  <si>
    <t>تهیه وسایل و قالببندی با استفاده از قالب فولادی در
تاوهها (دالها) که ارتفاع بیش از ٧٫۵ متر و حداکثر١٠ متر
باشد.</t>
  </si>
  <si>
    <t>آرماتوربندی</t>
  </si>
  <si>
    <t>070201</t>
  </si>
  <si>
    <t>تهیه، بریدن، خم کردن و کار گذاشتن میلگرد آجدار به قطر
تا ١٠میلیمتر، برای بتن مسلح با سیم پیچی لازم</t>
  </si>
  <si>
    <t>کیلوگرم</t>
  </si>
  <si>
    <t>070202</t>
  </si>
  <si>
    <t>تهیه، بریدن، خم کردن و کار گذاشتن میلگرد آجدار به قطر
10 تا 2٠میلیمتر، برای بتن مسلح با سیم پیچی لازم</t>
  </si>
  <si>
    <t>070203</t>
  </si>
  <si>
    <t>تهیه، بریدن، خم کردن و کار گذاشتن میلگرد آجدار به قطر
٢٠تا ۴٠میلیمتر، برای بتن مسلح با سیم پیچی لازم</t>
  </si>
  <si>
    <t>بتن‌ریزی</t>
  </si>
  <si>
    <t>080103</t>
  </si>
  <si>
    <t>تهیه و اجرای بتن با شن و ماسه شسته طبیعی یا شکسته با مقاومت فشاری مشخصه 1٢مگاپاسکال</t>
  </si>
  <si>
    <t>متر مکعب</t>
  </si>
  <si>
    <t>080104</t>
  </si>
  <si>
    <t>تهیه و اجرای بتن با شن و ماسه شسته طبیعی یا شکسته با مقاومت فشاری مشخصه 16مگاپاسکال</t>
  </si>
  <si>
    <t xml:space="preserve"> </t>
  </si>
  <si>
    <t>080105</t>
  </si>
  <si>
    <t>تهیه و اجرای بتن با شن و ماسه شسته طبیعی یا شکسته با مقاومت فشاری مشخصه ٢٠مگاپاسکال</t>
  </si>
  <si>
    <t>080106</t>
  </si>
  <si>
    <t>تهیه و اجرای بتن با شن و ماسه شسته طبیعی یا شکسته با مقاومت فشاری مشخصه ٢۵مگاپاسکال</t>
  </si>
  <si>
    <t>080107</t>
  </si>
  <si>
    <t>تهیه و اجرای بتن با شن و ماسه شسته طبیعی یا شکسته با مقاومت فشاری مشخصه  ٣٠مگاپاسکال</t>
  </si>
  <si>
    <t>080108</t>
  </si>
  <si>
    <t>تهیه و اجرای بتن با شن و ماسه شسته طبیعی یا شکسته با مقاومت فشاری مشخصه  35مگاپاسکال</t>
  </si>
  <si>
    <t>080109</t>
  </si>
  <si>
    <t>تهیه و اجرای بتن با شن و ماسه شسته طبیعی یا شکسته با مقاومت فشاری مشخصه  40مگاپاسکال</t>
  </si>
  <si>
    <t>080310</t>
  </si>
  <si>
    <t>اضافه بها به ردیف‌های بتن‌ریزی، در صورت مصرف بتن در بتن مسلح</t>
  </si>
  <si>
    <t>In-Situ Concrete with &gt;25% GGBS</t>
  </si>
  <si>
    <t>دال بتنی با &gt;۲۵٪ سرباره</t>
  </si>
  <si>
    <t>قیمت سیمان</t>
  </si>
  <si>
    <t>2399/kg</t>
  </si>
  <si>
    <t>مواد افزودنی</t>
  </si>
  <si>
    <t>سرباره</t>
  </si>
  <si>
    <t>هزینه تهیه یک کیلوگرم سرباره (محاسبه هزینه نهایی بر اساس کیلوگرم در هر مترمکعب)</t>
  </si>
  <si>
    <t>فرض عیار سیمان</t>
  </si>
  <si>
    <t>300kg/m3</t>
  </si>
  <si>
    <t>In-Situ Concrete with &gt;30% PFA</t>
  </si>
  <si>
    <t>دال بتنی با &gt;30٪ خاکستر بادی</t>
  </si>
  <si>
    <t>خاکستر بادی</t>
  </si>
  <si>
    <t>هزینه تهیه یک کیلوگرم خاکستر بادی (محاسبه هزینه نهایی بر اساس کیلوگرم در هر مترمکعب)</t>
  </si>
  <si>
    <t>Concrete Filler Slab</t>
  </si>
  <si>
    <t>دال و تیرچه بلوک (سفالی / سیمانی)</t>
  </si>
  <si>
    <t>تیرچه و بلوک بتنی</t>
  </si>
  <si>
    <t>100101</t>
  </si>
  <si>
    <t>اجرای سقف تیرچه و بلوک به ضخامت 20سانتیمتر با تیرچه پاشنه بتنی و بلوک توخالی بتنی، شامل تهیه تمام مصالح به استثنای میلگرد، و تهیه تجهیزات لازم به طور کامل</t>
  </si>
  <si>
    <t>100102</t>
  </si>
  <si>
    <t>اجرای سقف تیرچه و بلوک به ضخامت 25سانتیمتر با تیرچه پاشنه بتنی و بلوک توخالی بتنی، شامل تهیه تمام مصالح به استثنای میلگرد، و تهیه تجهیزات لازم به طور کامل</t>
  </si>
  <si>
    <t>100103</t>
  </si>
  <si>
    <t>اجرای سقف تیرچه و بلوک به ضخامت 30سانتیمتر با تیرچه پاشنه بتنی و بلوک توخالی بتنی، شامل تهیه تمام مصالح به استثنای میلگرد، و تهیه تجهیزات لازم به طور کامل</t>
  </si>
  <si>
    <t>100104</t>
  </si>
  <si>
    <t>اجرای سقف تیرچه و بلوک به ضخامت 35سانتیمتر با تیرچه پاشنه بتنی و بلوک توخالی بتنی، شامل تهیه تمام مصالح به استثنای میلگرد، و تهیه تجهیزات لازم به طور کامل</t>
  </si>
  <si>
    <t>Concrete Filler Slab with Polystyrene Insulation</t>
  </si>
  <si>
    <t>دال و تیرچه بلوک با یونولیت</t>
  </si>
  <si>
    <t>تیرچه بتنی و یونولیت</t>
  </si>
  <si>
    <t>100305</t>
  </si>
  <si>
    <t>اجرای سقف تیرچه و بلوک به ضخامت 25سانتیمتر با تیرچه پاشنه بتنی و بلوک پلی‌استایرن منبسط شده، شامل تهیه تمام مصالح به استثنای میلگرد، و تهیه تجهیزات لازم به طور کامل</t>
  </si>
  <si>
    <t>100306</t>
  </si>
  <si>
    <t>اجرای سقف تیرچه و بلوک به ضخامت 30سانتیمتر با تیرچه پاشنه بتنی و بلوک پلی‌استایرن منبسط شده، شامل تهیه تمام مصالح به استثنای میلگرد، و تهیه تجهیزات لازم به طور کامل</t>
  </si>
  <si>
    <t>In-Situ Waffle Concrete Slab</t>
  </si>
  <si>
    <t>قالب‌بندی وافل</t>
  </si>
  <si>
    <t>051101</t>
  </si>
  <si>
    <t>تهیه وسایل و جاگذاری قالب‌های قابلمه‌ای (وافل) به ضخامت سقف تا 30 سانتی‌متر و برداشت آن‌ها پس از بتن‌ریزی در سقف‌های بتنی</t>
  </si>
  <si>
    <t>051102</t>
  </si>
  <si>
    <t>تهیه وسایل و جاگذاری قالب‌های قابلمه‌ای (وافل) به ضخامت سقف بیش از 30 سانتی‌متر تا 45 سانتی‌متر و برداشت آن‌ها پس از بتن‌ریزی در سقف‌های بتنی</t>
  </si>
  <si>
    <t>051103</t>
  </si>
  <si>
    <t>تهیه وسایل و جاگذاری قالب‌های قابلمه‌ای (وافل) به ضخامت سقف بیش از 45 سانتی‌متر تا 60 سانتی‌متر و برداشت آن‌ها پس از بتن‌ریزی در سقف‌های بتنی</t>
  </si>
  <si>
    <t>قالب‌بندی فولادی و زیرسازی</t>
  </si>
  <si>
    <t>Composite in-situ concrete and steel deck (permanent shuttering)</t>
  </si>
  <si>
    <t>کف کامپوزیت عرشه فولادی</t>
  </si>
  <si>
    <t>قالب ماندگار</t>
  </si>
  <si>
    <t>تهیه و اجرای تاوه فلزی ماندگار برای پوشش سقف، به همراه گل‌میخ‌ها و اتصالات مربوط، مطابق مشخصات فنی</t>
  </si>
  <si>
    <t>080304</t>
  </si>
  <si>
    <t>اضافه بها به ردیف‌های بتن‌ریزی، هرگاه ضخامت بتن برابر 15 سانتی‌متر یا کمتر باشد</t>
  </si>
  <si>
    <t>M02</t>
  </si>
  <si>
    <r>
      <rPr>
        <sz val="14"/>
        <color theme="1"/>
        <rFont val="B Nazanin"/>
        <charset val="178"/>
      </rPr>
      <t>سقف</t>
    </r>
    <r>
      <rPr>
        <sz val="14"/>
        <color theme="1"/>
        <rFont val="Times New Roman"/>
        <family val="1"/>
      </rPr>
      <t xml:space="preserve">
</t>
    </r>
    <r>
      <rPr>
        <sz val="12"/>
        <color theme="1"/>
        <rFont val="Times New Roman"/>
        <family val="1"/>
      </rPr>
      <t>Roof Construction</t>
    </r>
  </si>
  <si>
    <t>M03</t>
  </si>
  <si>
    <r>
      <rPr>
        <sz val="14"/>
        <color theme="1"/>
        <rFont val="B Nazanin"/>
        <charset val="178"/>
      </rPr>
      <t>دیوارهای خارجی</t>
    </r>
    <r>
      <rPr>
        <sz val="14"/>
        <color theme="1"/>
        <rFont val="Times New Roman"/>
        <family val="1"/>
      </rPr>
      <t xml:space="preserve">
</t>
    </r>
    <r>
      <rPr>
        <sz val="12"/>
        <color theme="1"/>
        <rFont val="Times New Roman"/>
        <family val="1"/>
      </rPr>
      <t>External Walls</t>
    </r>
  </si>
  <si>
    <t>Common Brick Wall with internal &amp; external plaster</t>
  </si>
  <si>
    <t>دیوار آجری معمولی با دو طرف گچ</t>
  </si>
  <si>
    <t>آجرچینی با آجر فشاری</t>
  </si>
  <si>
    <t>آجرکاری به ضخامت یک و نیم آجر و بیشتر با آجر فشاری و ملات ماسه سیمان 1:5</t>
  </si>
  <si>
    <t>دیوار یک آجره با آجر فشاری و ملات ماسه سیمان 1:5</t>
  </si>
  <si>
    <t>دیوار نیم آجره با آجر فشاری و ملات ماسه سیمان 1:5</t>
  </si>
  <si>
    <t>اندود گچ و خاک</t>
  </si>
  <si>
    <t>شمشه‌گیری سطوح قائم و سقف‌ها، با ملات گچ و خاک یا گچ</t>
  </si>
  <si>
    <t>اندود گچ و خاک به ضخامت تا 2.5 سانتی‌متر، روی سطوح قائم</t>
  </si>
  <si>
    <t>سفیدکاری</t>
  </si>
  <si>
    <t>سفیدکاری روی سطوح قائم و پرداخت آن با گچ کشته</t>
  </si>
  <si>
    <t>مجموع</t>
  </si>
  <si>
    <t>Cored (with holes) bricks with internal &amp; external plaster</t>
  </si>
  <si>
    <t>دیوار آجری مجوف  با دو طرف گچ</t>
  </si>
  <si>
    <t>آجرچینی با آجر ماشینی سوراخ‌‎دار</t>
  </si>
  <si>
    <t>آجرکاری به ضخامت یک و نیم آجر و بیشتر با آجر ماشینی سواخ‌دار به ابعاد آجر فشاری و ملات ماسه سیمان 1:5</t>
  </si>
  <si>
    <t>دیوار یک آجره با آجر ماشینی سواخ‌دار به ابعاد آجر فشاری، با ملات ماسه سیمان 1:5</t>
  </si>
  <si>
    <t>دیوار نیم آجره با آجر ماشینی سواخ‌دار به ابعاد آجر فشاری، با ملات ماسه سیمان 1:5</t>
  </si>
  <si>
    <t>Honeycomb Clay Blocks with internal &amp; external plaster</t>
  </si>
  <si>
    <t>دیوار با بلوک سفالی با دو طرف گچ</t>
  </si>
  <si>
    <t>آجرچینی با بلوک سفالی</t>
  </si>
  <si>
    <t>دیوار به ضخامت 7 تا 11 سانتی‌متر با بلوک سفال و ملات ماسه سیمان 1:5</t>
  </si>
  <si>
    <t>دیوار به ضخامت بیش از 11 تا 22 سانتی‌متر با بلوک سفال و ملات ماسه سیمان 1:5</t>
  </si>
  <si>
    <t>آجرکاری به ضخامت بیش از 22 سانتی‌متر با بلوک سفال و ملات ماسه سیمان 1:5</t>
  </si>
  <si>
    <t>Medium Weight Hollow Concrete Blocks</t>
  </si>
  <si>
    <t>دیوار با بلوک لیکا با دو طرف گچ</t>
  </si>
  <si>
    <t>بنایی با بلوک سیمانی لیکا</t>
  </si>
  <si>
    <t>بنایی با بلوک سیمانی سبک توخالی کف‌پر تهیه شده با دانه رس منبسط شده، به ضخامت تا 10 سانتی‌متر با ملات ماسه و سیمان 1:5</t>
  </si>
  <si>
    <t>بنایی با بلوک سیمانی سبک توخالی کف‌پر تهیه شده با دانه رس منبسط شده، به ضخامت 12 تا 15 سانتی‌متر با ملات ماسه و سیمان 1:5</t>
  </si>
  <si>
    <t>بنایی با بلوک سیمانی سبک توخالی کف‌پر تهیه شده با دانه رس منبسط شده، به ضخامت 17 تا 20 سانتی‌متر با ملات ماسه و سیمان 1:5</t>
  </si>
  <si>
    <t>Autoclaved Aerated Concrete Blocks</t>
  </si>
  <si>
    <t>دیوار با بلوک بتنی سبک AAC (هبلکس و ...)</t>
  </si>
  <si>
    <t>بلوک از جنس بتن سبک</t>
  </si>
  <si>
    <t>بنایی با بلوک‌های بتنی پیش‌ساخته از بتن سبک اتوکلاو شده (بتن گازی) با ملات مخصوص به ضخامت حدود 10 سانتی‌متر</t>
  </si>
  <si>
    <t>بنایی با بلوک‌های بتنی پیش‌ساخته از بتن سبک اتوکلاو شده (بتن گازی) با ملات مخصوص به ضخامت حدود 15 سانتی‌متر</t>
  </si>
  <si>
    <t>بنایی با بلوک‌های بتنی پیش‌ساخته از بتن سبک اتوکلاو شده (بتن گازی) با ملات مخصوص به ضخامت حدود 20 سانتی‌متر</t>
  </si>
  <si>
    <t>بنایی با بلوک‌های بتنی پیش‌ساخته از بتن سبک اتوکلاو شده (بتن گازی) با ملات مخصوص به ضخامت حدود 25 سانتی‌متر</t>
  </si>
  <si>
    <t>بنایی با بلوک‌های بتنی پیش‌ساخته از بتن سبک اتوکلاو شده (بتن گازی) با ملات مخصوص به ضخامت حدود 30 سانتی‌متر</t>
  </si>
  <si>
    <t>بنایی با بلوک‌های بتنی پیش‌ساخته از بتن سبک اتوکلاو شده (بتن گازی) با ملات مخصوص به ضخامت تا 8 سانتی‌متر</t>
  </si>
  <si>
    <t>بنایی با بلوک‌های بتنی پیش‌ساخته از بتن سبک اتوکلاو شده (بتن گازی) با ملات مخصوص به ضخامت حدود 12 سانتی‌متر</t>
  </si>
  <si>
    <t>Precast Concrete Panels</t>
  </si>
  <si>
    <t>دیوار پیش‌ساخته بتنی (والکریت و ...)</t>
  </si>
  <si>
    <t>پانل از جنس بتن سبک</t>
  </si>
  <si>
    <t>بنایی با پانل‌های بتنی پیش‌ساخته از بتن سبک، دانه‌های پلی‌استایرن و رس منبسط شده، با ملات مخصوص به ضخامت حدود 6 سانتی‌متر</t>
  </si>
  <si>
    <t>بنایی با پانل‌های بتنی پیش‌ساخته از بتن سبک، دانه‌های پلی‌استایرن و رس منبسط شده، با ملات مخصوص به ضخامت حدود 8 سانتی‌متر</t>
  </si>
  <si>
    <t>بنایی با پانل‌های بتنی پیش‌ساخته از بتن سبک، دانه‌های پلی‌استایرن و رس منبسط شده، با ملات مخصوص به ضخامت حدود 10 سانتی‌متر</t>
  </si>
  <si>
    <t>بنایی با پانل‌های بتنی پیش‌ساخته از بتن سبک، دانه‌های پلی‌استایرن و رس منبسط شده، با ملات مخصوص به ضخامت حدود 12 سانتی‌متر</t>
  </si>
  <si>
    <t>120824</t>
  </si>
  <si>
    <t>بنایی با پانل‌های بتنی پیش‌ساخته از بتن سبک، دانه‌های پلی‌استایرن و رس منبسط شده، با ملات مخصوص به ضخامت حدود 15 سانتی‌متر</t>
  </si>
  <si>
    <t>Plasterboards on metal studs</t>
  </si>
  <si>
    <t>دیوار پانل گچی با فریم فلزی (کناف)</t>
  </si>
  <si>
    <t>زیرسازی فولادی گالوانیزه</t>
  </si>
  <si>
    <t>160701</t>
  </si>
  <si>
    <t>تهیه و اجرای زیرسازی از جنس فولاد سرد نورد شده گالوانیزه، در سطوح قائم، متشکل از اعضای استاد و رانر و سایر مقاطع گالوانیزه (و بادبند در صورت لزوم) به همراه نعل‌درگاه، اتصالات و تقویتی‌های مربوط</t>
  </si>
  <si>
    <t>صفحات گچی روکش‌دار</t>
  </si>
  <si>
    <t>180901</t>
  </si>
  <si>
    <t>تهیه و نصب صفحات گچی روکش‌دار معمولی به ضخامت اسمی 12.5 میلیمتر، روی سطوح قائم که با استفاده از فولاد گالوانیزه سرد نورد شده زیرسازی شده باشد، به ازای هر صفحه گچی روکش‌دار</t>
  </si>
  <si>
    <t>180911</t>
  </si>
  <si>
    <t>تهیه و اجرای نوار و بطانه جهت درزبندی صفحات گچی روکش‌دار</t>
  </si>
  <si>
    <t>180912</t>
  </si>
  <si>
    <t>تهیه و اجرای مواد پرداخت روی صفحات گچی روکش‌دار</t>
  </si>
  <si>
    <t>180916</t>
  </si>
  <si>
    <t>اضافه بها به ردیف‌های 180901 و 180902، چنانچه صفحات گچی از نوع مقاوم در برابر رطوبت باشد</t>
  </si>
  <si>
    <t>عایق‌کاری با پشم سنگ</t>
  </si>
  <si>
    <t>عایق‌کاری حرارتی با عایق پشم سنگ به صورت پانل و بدون روکش، به ضخامت 30 میلی‌متر و به وزن مخصوص 50 کیلوگرم بر مترمکعب</t>
  </si>
  <si>
    <t>اضافه‌بها به ردیف 140119، به ازای افزایش هر کیلوگرم مقدار عایق مصرفی در هر مترمکعب ناشی از افزایش ضخامت یا وزن مخصوص آن (کسر کیلوگرم به تناسب محاسبه می‌شود)</t>
  </si>
  <si>
    <t>3-D Wire panel with 'shot-crete' both sides</t>
  </si>
  <si>
    <r>
      <rPr>
        <sz val="11"/>
        <color theme="1"/>
        <rFont val="B Nazanin"/>
        <charset val="178"/>
      </rPr>
      <t>3D</t>
    </r>
    <r>
      <rPr>
        <sz val="12"/>
        <color theme="1"/>
        <rFont val="B Nazanin"/>
        <charset val="178"/>
      </rPr>
      <t xml:space="preserve"> پانل با شاتکریت طرفین</t>
    </r>
  </si>
  <si>
    <t>پانل مشبک عایق‌دار</t>
  </si>
  <si>
    <t>160601</t>
  </si>
  <si>
    <t>تهیه و نصب پانل دیواری از جنس پانل مشبک عایق‌دار به ضخامت تا 7 سانتی‌متر با لایه پلی‌استایرن خودخاموش‌شو به ضخامت 4 سانتی‌متر و شبکه‌ها و برشگیرها از مفتول به قطر 2 تا 2.5 میلی‌متر با چشمه‌های به ابعاد 80×80 میلی‌متر به همراه اجرای بازشوها (به مساحت کمتر از یک متر مربع) و نصب شبکه‌های اتصال در گوشه و در اطراف بازشوها، به طور کامل</t>
  </si>
  <si>
    <t>160602</t>
  </si>
  <si>
    <t>تهیه و نصب پانل دیواری از جنس پانل مشبک عایق‌دار به ضخامت تا 15 سانتی‌متر با لایه پلی‌استایرن خودخاموش‌شو به ضخامت 6 سانتی‌متر و شبکه‌ها و برشگیرها از مفتول به قطر 3.5 تا 4 میلی‌متر با چشمه‌های به ابعاد 50×50 میلی‌متر به همراه اجرای بازشوها (به مساحت کمتر از یک متر مربع) و نصب شبکه‌های اتصال در گوشه و در اطراف بازشوها، به طور کامل</t>
  </si>
  <si>
    <t>اندود بتن پاششی</t>
  </si>
  <si>
    <t>180330</t>
  </si>
  <si>
    <t>تهیه و اجرای بتن با عیار 350 کیلوگرم سیمان به روش پاششی با دستگاه، برای ضخامت یک تا 3 سانتی‌متر به ازای هر سانتی‌متر</t>
  </si>
  <si>
    <t>180331</t>
  </si>
  <si>
    <t>اضافه بها به ردیف 180330 برای ضخامت‌های بیش از 3 سانتی‌متر، به ازای هر یک سانتی‌متر تا 10 سانتی‌متر</t>
  </si>
  <si>
    <t>Aluminum-clad sandwich panel</t>
  </si>
  <si>
    <t>دیوار ساندویچ پانل آلومینیومی</t>
  </si>
  <si>
    <t>پانل ساندویچی آلومینیوم</t>
  </si>
  <si>
    <t>171002</t>
  </si>
  <si>
    <t>تهیه مصالح و نصب پانل ساندویچی دیواری به ضخامت 4 سانتی‌متر شامل دو رو ورق آلومینیوم رنگی به ضخامت 0.7 میلیمتر که بین آن‌ها فوم پلی‌یورتان پر شده باشد.</t>
  </si>
  <si>
    <t>171010</t>
  </si>
  <si>
    <t>اضافه بها به ردیف‌های تهیه و نصب پانل‌های ساندویچی، به ازای هر سانتی‌متر اضافه ضخامت مازاد بر چهار سانتی‌متر، بابت افزایش ضخامت فوم پلی‌یورتان</t>
  </si>
  <si>
    <t>Steel-clad sandwich panel</t>
  </si>
  <si>
    <t>دیوار ساندویچ پانل استیل</t>
  </si>
  <si>
    <t>پانل ساندویچی استیل</t>
  </si>
  <si>
    <t>171005</t>
  </si>
  <si>
    <t>تهیه مصالح و نصب پانل ساندویچی دیواری به ضخامت 4 سانتی‌متر شامل دو رو ورق رنگی فولادی با روکش آلومینیوم و روی به ضخامت 0.5 میلیمتر که بین آن‌ها فوم پلی‌یورتان پر شده باشد.</t>
  </si>
  <si>
    <t>M04</t>
  </si>
  <si>
    <r>
      <rPr>
        <sz val="14"/>
        <color theme="1"/>
        <rFont val="B Nazanin"/>
        <charset val="178"/>
      </rPr>
      <t>دیوارهای داخلی</t>
    </r>
    <r>
      <rPr>
        <sz val="14"/>
        <color theme="1"/>
        <rFont val="Times New Roman"/>
        <family val="1"/>
      </rPr>
      <t xml:space="preserve">
In</t>
    </r>
    <r>
      <rPr>
        <sz val="12"/>
        <color theme="1"/>
        <rFont val="Times New Roman"/>
        <family val="1"/>
      </rPr>
      <t>ternal Walls</t>
    </r>
  </si>
  <si>
    <t>M05</t>
  </si>
  <si>
    <r>
      <rPr>
        <sz val="14"/>
        <color theme="1"/>
        <rFont val="B Nazanin"/>
        <charset val="178"/>
      </rPr>
      <t>کفسازی نهایی</t>
    </r>
    <r>
      <rPr>
        <sz val="14"/>
        <color theme="1"/>
        <rFont val="Times New Roman"/>
        <family val="1"/>
      </rPr>
      <t xml:space="preserve">
</t>
    </r>
    <r>
      <rPr>
        <sz val="12"/>
        <color theme="1"/>
        <rFont val="Times New Roman"/>
        <family val="1"/>
      </rPr>
      <t>Flooring</t>
    </r>
  </si>
  <si>
    <t>Ceramic Tile</t>
  </si>
  <si>
    <t>کاشی کاری با کاشی سرامیکی</t>
  </si>
  <si>
    <t>تهیه و نصب کاشی‌های سرامیکی لعاب‌‌دار یا بدون لعاب روی سطوح افقی با سطح تا 16 دسی‌متر مربع</t>
  </si>
  <si>
    <t>تهیه و نصب کاشی‌های سرامیکی لعاب‌‌دار یا بدون لعاب روی سطوح افقی با سطح بیش از 16 تا 25 دسی‌متر مربع</t>
  </si>
  <si>
    <t>تهیه و نصب کاشی‌های سرامیکی لعاب‌‌دار یا بدون لعاب روی سطوح افقی با سطح بیش از 25 تا 36 دسی‌متر مربع</t>
  </si>
  <si>
    <t>تهیه و نصب کاشی‌های سرامیکی لعاب‌‌دار یا بدون لعاب روی سطوح افقی با سطح بیش از 36 تا 49 دسی‌متر مربع</t>
  </si>
  <si>
    <t>تهیه و نصب کاشی‌های سرامیکی لعاب‌‌دار یا بدون لعاب روی سطوح افقی با سطح بیش از 49 تا 64 دسی‌متر مربع</t>
  </si>
  <si>
    <t>تهیه و نصب کاشی‌های سرامیکی لعاب‌‌دار یا بدون لعاب روی سطوح افقی با سطح بیش از 64 تا 72 دسی‌متر مربع</t>
  </si>
  <si>
    <t>Vinyl Flooring</t>
  </si>
  <si>
    <t>کفپوش وینیل (PVC)</t>
  </si>
  <si>
    <t>تهیه و نصب کف‌پوش P.V.C</t>
  </si>
  <si>
    <t>تهیه و نصب کف‌پوش P.V.C، به صورت رول و با ضخامت 1.5 تا 2 میلیمتر</t>
  </si>
  <si>
    <t>اضافه بها به ردیف 230110 به ازای افزایش هر میلیمتر ضخامت کف‌پوش P.V.C مازاد بر 2 میلیمتر تا 6 میلیمتر (کسر میلیمتر به تناسب محاسبه می‌شود)</t>
  </si>
  <si>
    <t>تهیه و نصب کف‌پوش P.V.C، به صورت تایل به ابعاد مختلف و با ضخامت 1.5 تا 2 میلیمتر</t>
  </si>
  <si>
    <t>اضافه بها به ردیف 230112 به ازای افزایش هر میلیمتر ضخامت کف‌پوش P.V.C مازاد بر 2 میلیمتر تا 6 میلیمتر (کسر میلیمتر به تناسب محاسبه می‌شود)</t>
  </si>
  <si>
    <t>تهیه و نصب کف‌پوش P.V.C ضد باکتری، به صورت رول و با ضخامت 1.5 تا 2 میلیمتر</t>
  </si>
  <si>
    <t>اضافه بها به ردیف 230114 به ازای افزایش هر میلیمتر ضخامت کف‌پوش P.V.C ضد باکتری مازاد بر 2 میلیمتر تا 6 میلیمتر (کسر میلیمتر به تناسب محاسبه می‌شود)</t>
  </si>
  <si>
    <t>تهیه و نصب کف‌پوش P.V.C ضد جریان الکتریسیته ساکن، به صورت رول و با ضخامت 1.5 تا 2 میلیمتر</t>
  </si>
  <si>
    <t>تهیه و نصب کف‌پوش P.V.C ضد جریان الکتریسیته ساکن، به صورت تایل به ابعاد مختلف و با ضخامت 1.5 تا 2 میلیمتر</t>
  </si>
  <si>
    <t>Stone Tiles/Slabs</t>
  </si>
  <si>
    <t>کف کاشی سنگی</t>
  </si>
  <si>
    <t>تهیه و نصب سنگ پلاک</t>
  </si>
  <si>
    <t>220110-220157</t>
  </si>
  <si>
    <t>میانگین تهیه و نصب انواع سنگ پلاک تراورتن (فهرست بها) در سطوح افقی</t>
  </si>
  <si>
    <t>220205-220215</t>
  </si>
  <si>
    <t>میانگین تهیه و نصب انواع سنگ پلاک سنگ آهک (فهرست بها) در سطوح افقی</t>
  </si>
  <si>
    <t>220320-220355</t>
  </si>
  <si>
    <t>میانگین تهیه و نصب انواع سنگ پلاک مرمیت (فهرست بها) در سطوح افقی</t>
  </si>
  <si>
    <t>220410-220424</t>
  </si>
  <si>
    <t>میانگین تهیه و نصب انواع سنگ پلاک چینی (فهرست بها) در سطوح افقی</t>
  </si>
  <si>
    <t>220510-220546</t>
  </si>
  <si>
    <t>میانگین تهیه و نصب انواع سنگ پلاک گرانیت (فهرست بها) در سطوح افقی</t>
  </si>
  <si>
    <t>220110-220550</t>
  </si>
  <si>
    <t>میانگین تهیه و نصب انواع سنگ پلاک (فهرست بها) تراورتن، سنگ آهک(لایم استون)، مرمریت، چینی، گرانیت</t>
  </si>
  <si>
    <t>Finished Concrete Floor - Screed</t>
  </si>
  <si>
    <t>کف اپوکسی</t>
  </si>
  <si>
    <t>تهیه و اجرای کف‌پوش اپوکسی</t>
  </si>
  <si>
    <t>تهیه مصالح و اجرای کف‌پوش اپوکسی با بنیان رزین اپوکسی و سخت‌کننده مربوط شامل قشر آستر، لایه میانی و لایه رویه به ضخامت تا 2 میلیمتر</t>
  </si>
  <si>
    <t>اضافه‌بها به ردیف 230350 به ازای هر میلیمتر افزایش ضخامت مازاد بر ۲ میلیمتر تا 5 میلیمتر</t>
  </si>
  <si>
    <t>اضافه‌بها به ردیف 230350 در صورتی که کف‌پوش از نوع آنتی‌باکتریال باشد</t>
  </si>
  <si>
    <t>Terrazzo Tiles</t>
  </si>
  <si>
    <t>کف‌سازی موزاییک</t>
  </si>
  <si>
    <t>فرش کف با موزاییک</t>
  </si>
  <si>
    <t>فرش کف با موزاییک پرسی یا ویبره‌ای با سطح صاف</t>
  </si>
  <si>
    <t>فرش کف با موزاییک ماشینی پرسی دو لایه با سطح صاف با ملات ماسه سیمان 1:5</t>
  </si>
  <si>
    <t>فرش کف با موزاییک ماشینی پرسی تک لایه با سطح صاف با ملات ماسه سیمان 1:5</t>
  </si>
  <si>
    <t>Laminated Wooden Flooring</t>
  </si>
  <si>
    <t>کفپوش لمینت چوبی</t>
  </si>
  <si>
    <t>تهیه و نصب کفپوش لمینت</t>
  </si>
  <si>
    <t>تهیه و نصب کف‌پوش لمینت به ضخامت حدود 8 میلیمتر</t>
  </si>
  <si>
    <r>
      <t xml:space="preserve">اضافه‌بها به ردیف 191502، در صورتی که درجه مقاومت به سایش کف‌پوش لمینت، </t>
    </r>
    <r>
      <rPr>
        <sz val="11"/>
        <color theme="1"/>
        <rFont val="Times New Roman"/>
        <family val="1"/>
      </rPr>
      <t>AC4</t>
    </r>
    <r>
      <rPr>
        <sz val="12"/>
        <color theme="1"/>
        <rFont val="B Nazanin"/>
        <charset val="178"/>
      </rPr>
      <t xml:space="preserve"> یا </t>
    </r>
    <r>
      <rPr>
        <sz val="11"/>
        <color theme="1"/>
        <rFont val="Times New Roman"/>
        <family val="1"/>
      </rPr>
      <t>AC5</t>
    </r>
    <r>
      <rPr>
        <sz val="12"/>
        <color theme="1"/>
        <rFont val="B Nazanin"/>
        <charset val="178"/>
      </rPr>
      <t xml:space="preserve"> باشد</t>
    </r>
  </si>
  <si>
    <t>M06</t>
  </si>
  <si>
    <r>
      <rPr>
        <sz val="14"/>
        <color theme="1"/>
        <rFont val="B Nazanin"/>
        <charset val="178"/>
      </rPr>
      <t>فریم (قاب) پنجره ها</t>
    </r>
    <r>
      <rPr>
        <sz val="14"/>
        <color theme="1"/>
        <rFont val="Times New Roman"/>
        <family val="1"/>
      </rPr>
      <t xml:space="preserve">
</t>
    </r>
    <r>
      <rPr>
        <sz val="12"/>
        <color theme="1"/>
        <rFont val="Times New Roman"/>
        <family val="1"/>
      </rPr>
      <t>Window Frames</t>
    </r>
  </si>
  <si>
    <t>Aluminium</t>
  </si>
  <si>
    <t>فریم پنجره آلومینیوم</t>
  </si>
  <si>
    <t>Steel</t>
  </si>
  <si>
    <t>فریم پنجره استیل</t>
  </si>
  <si>
    <t>Timber</t>
  </si>
  <si>
    <t>فریم پنجره چوبی</t>
  </si>
  <si>
    <t>UPVC</t>
  </si>
  <si>
    <t>فریم پنجره UPVC</t>
  </si>
  <si>
    <t>Aluminium clad timber</t>
  </si>
  <si>
    <t>فریم پنجره چوب و آلومینیوم</t>
  </si>
  <si>
    <t>M07 &amp; M08</t>
  </si>
  <si>
    <r>
      <rPr>
        <sz val="14"/>
        <color theme="1"/>
        <rFont val="B Nazanin"/>
        <charset val="178"/>
      </rPr>
      <t>عایق</t>
    </r>
    <r>
      <rPr>
        <sz val="12"/>
        <color theme="1"/>
        <rFont val="Times New Roman"/>
        <family val="1"/>
      </rPr>
      <t xml:space="preserve">
Insulation</t>
    </r>
  </si>
  <si>
    <t>Polystyrene</t>
  </si>
  <si>
    <t>پلی استایرن - یونولیت</t>
  </si>
  <si>
    <t>عایق‌کاری با پلی استایرن</t>
  </si>
  <si>
    <t>عایق‌کاری با پلی‌استایرن منبسط شده به ضخامت 15 میلی‌متر و وزن مخصوص 15 کیلوگرم بر مترمکعب</t>
  </si>
  <si>
    <t>اضافه‌بها به ردیف 140213، به ازای افزایش هر کیلوگرم مقدار عایق مصرفی در هر مترمکعب ناشی از افزایش ضخامت یا وزن مخصوص آن (کسر کیلوگرم به تناسب محاسبه می‌شود)</t>
  </si>
  <si>
    <t>Mineral Wool</t>
  </si>
  <si>
    <t>پشم سنگ</t>
  </si>
  <si>
    <t>Glass Wool</t>
  </si>
  <si>
    <t>پشم شیشه</t>
  </si>
  <si>
    <t>عایق‌کاری با پشم شیشه</t>
  </si>
  <si>
    <t>عایق‌کاری حرارتی با عایق پشم شیشه به صورت پانل و بدون روکش، به ضخامت 25 میلی‌متر و به وزن مخصوص 26 کیلوگرم بر مترمکعب</t>
  </si>
  <si>
    <t>اضافه‌بها به ردیف 140113، به ازای افزایش هر کیلوگرم مقدار عایق مصرفی در هر مترمکعب ناشی از افزایش ضخامت یا وزن مخصوص آن (کسر کیلوگرم به تناسب محاسبه می‌شود)</t>
  </si>
  <si>
    <t>Polyurethane</t>
  </si>
  <si>
    <t>پلی‌یورتان</t>
  </si>
  <si>
    <t>عایق‌کاری با پلی‌یورتان</t>
  </si>
  <si>
    <t>عایق‌کاری حرارتی با عایق پلی‌یورتان به ضخامت 15 میلی‌متر و وزن مخصوص 30 کیلوگرم بر مترمکعب</t>
  </si>
  <si>
    <t>اضافه‌بها به ردیف 140211، به ازای افزایش هر کیلوگرم مقدار عایق مصرفی در هر مترمکعب ناشی از افزایش ضخامت یا وزن مخصوص آن (کسر کیلوگرم به تناسب محاسبه می‌شود)</t>
  </si>
  <si>
    <t>EDGE</t>
  </si>
  <si>
    <t>جزء تشکیل دهنده</t>
  </si>
  <si>
    <t>ضخامت(m)</t>
  </si>
  <si>
    <r>
      <t>چگالی(kg/m</t>
    </r>
    <r>
      <rPr>
        <vertAlign val="superscript"/>
        <sz val="11"/>
        <color theme="1"/>
        <rFont val="B Nazanin"/>
        <charset val="178"/>
      </rPr>
      <t>3</t>
    </r>
    <r>
      <rPr>
        <sz val="11"/>
        <color theme="1"/>
        <rFont val="B Nazanin"/>
        <charset val="178"/>
      </rPr>
      <t>)</t>
    </r>
  </si>
  <si>
    <r>
      <t>وزن(kg/m</t>
    </r>
    <r>
      <rPr>
        <vertAlign val="superscript"/>
        <sz val="12"/>
        <color theme="1"/>
        <rFont val="B Nazanin"/>
        <charset val="178"/>
      </rPr>
      <t>2</t>
    </r>
    <r>
      <rPr>
        <sz val="12"/>
        <color theme="1"/>
        <rFont val="B Nazanin"/>
        <charset val="178"/>
      </rPr>
      <t>)</t>
    </r>
  </si>
  <si>
    <t>انرژی نهفته واحد وزن (MJ/kg)</t>
  </si>
  <si>
    <r>
      <t>انرژی نهفته هر جزء(MJ/m</t>
    </r>
    <r>
      <rPr>
        <vertAlign val="superscript"/>
        <sz val="11"/>
        <color theme="1"/>
        <rFont val="B Nazanin"/>
        <charset val="178"/>
      </rPr>
      <t>2</t>
    </r>
    <r>
      <rPr>
        <sz val="11"/>
        <color theme="1"/>
        <rFont val="B Nazanin"/>
        <charset val="178"/>
      </rPr>
      <t>)</t>
    </r>
  </si>
  <si>
    <r>
      <t>انرژی نهفته کل(MJ/m</t>
    </r>
    <r>
      <rPr>
        <vertAlign val="superscript"/>
        <sz val="11"/>
        <color theme="1"/>
        <rFont val="B Nazanin"/>
        <charset val="178"/>
      </rPr>
      <t>2</t>
    </r>
    <r>
      <rPr>
        <sz val="11"/>
        <color theme="1"/>
        <rFont val="B Nazanin"/>
        <charset val="178"/>
      </rPr>
      <t>)</t>
    </r>
  </si>
  <si>
    <t>بتن</t>
  </si>
  <si>
    <t>آرماتور</t>
  </si>
  <si>
    <t>-</t>
  </si>
  <si>
    <t>35 cm</t>
  </si>
  <si>
    <t>35kg/m2 آرماتور</t>
  </si>
  <si>
    <t>بتن با سرباره</t>
  </si>
  <si>
    <t>20 cm</t>
  </si>
  <si>
    <t>20kg/m2 آرماتور</t>
  </si>
  <si>
    <t>بتن با خاکستر بادی</t>
  </si>
  <si>
    <t>بلوک پر کننده</t>
  </si>
  <si>
    <t>11kg/m2 آرماتور</t>
  </si>
  <si>
    <t>پلی‌استایرن</t>
  </si>
  <si>
    <t>13.1kg/m2 آرماتور</t>
  </si>
  <si>
    <t>10 cm</t>
  </si>
  <si>
    <t>ورق گالوانیزه</t>
  </si>
  <si>
    <t>10kg/m2 آرماتور</t>
  </si>
  <si>
    <t>آجر فشاری</t>
  </si>
  <si>
    <t>پلاستر گچ</t>
  </si>
  <si>
    <t>آجر مجوف</t>
  </si>
  <si>
    <t>بلوک سفالی</t>
  </si>
  <si>
    <t>بلوک لیکا</t>
  </si>
  <si>
    <t>بلوک AAC</t>
  </si>
  <si>
    <t>Precast EPS-based Concrete Panels</t>
  </si>
  <si>
    <t>دیوار بتنی پیش‌ساخته (والکریت)</t>
  </si>
  <si>
    <t>بلوک پیش‌ساخته بتنی</t>
  </si>
  <si>
    <t>15 cm</t>
  </si>
  <si>
    <t>Plasterboards on metal studs with insulation</t>
  </si>
  <si>
    <t>دیوار پانل گچی با فریم فلزی با عایق</t>
  </si>
  <si>
    <t>پانل گچی</t>
  </si>
  <si>
    <t>زیرسازی فلزی</t>
  </si>
  <si>
    <t>عایق (پشم سنگ)</t>
  </si>
  <si>
    <t>3-D Wire panel with 'shot-crete' both sides -- with insulation</t>
  </si>
  <si>
    <r>
      <rPr>
        <sz val="11"/>
        <color theme="1"/>
        <rFont val="Times New Roman"/>
        <family val="1"/>
      </rPr>
      <t>3D</t>
    </r>
    <r>
      <rPr>
        <sz val="12"/>
        <color theme="1"/>
        <rFont val="B Nazanin"/>
        <charset val="178"/>
      </rPr>
      <t xml:space="preserve"> پانل با شاتکریت طرفین با عایق پلی‌استایرن</t>
    </r>
  </si>
  <si>
    <t>سازه مشبک آرماتور</t>
  </si>
  <si>
    <t>عایق (پلی‌استایرن)</t>
  </si>
  <si>
    <t>بتن شاتکریت</t>
  </si>
  <si>
    <t>سرامیک</t>
  </si>
  <si>
    <t>ملات ماسه سیمان</t>
  </si>
  <si>
    <t>1 cm</t>
  </si>
  <si>
    <t>ملات بندکشی</t>
  </si>
  <si>
    <t>کفپوش PVC</t>
  </si>
  <si>
    <t>0.2 cm</t>
  </si>
  <si>
    <t>چسب</t>
  </si>
  <si>
    <t>سنگ پلاک</t>
  </si>
  <si>
    <t>2 cm</t>
  </si>
  <si>
    <t>Finished Concrete Floor</t>
  </si>
  <si>
    <t>کفسازی بتنی</t>
  </si>
  <si>
    <t>3.5 cm</t>
  </si>
  <si>
    <t>کاشی موزاییک</t>
  </si>
  <si>
    <t>موزاییک پایه سیمانی</t>
  </si>
  <si>
    <t>کفپوش لمینت</t>
  </si>
  <si>
    <t>زیرسازی</t>
  </si>
  <si>
    <t>وزن(kg)</t>
  </si>
  <si>
    <t>پلی اورتان</t>
  </si>
  <si>
    <t>29% Glass Wool at 15 kg/m3</t>
  </si>
  <si>
    <t>71% stone wool at 37 kg/m3</t>
  </si>
  <si>
    <t>محاسبه هزینه</t>
  </si>
  <si>
    <t>محاسبه انرژی نهفته</t>
  </si>
  <si>
    <t>محاسبه پایداری اجتماعی</t>
  </si>
  <si>
    <t>دیوار پانل گچی با فریم فلزی</t>
  </si>
  <si>
    <r>
      <rPr>
        <sz val="11"/>
        <color theme="1"/>
        <rFont val="Times New Roman"/>
        <family val="1"/>
      </rPr>
      <t>3D</t>
    </r>
    <r>
      <rPr>
        <sz val="12"/>
        <color theme="1"/>
        <rFont val="B Nazanin"/>
        <charset val="178"/>
      </rPr>
      <t xml:space="preserve"> پانل با شاتکریت طرفین</t>
    </r>
  </si>
  <si>
    <t>بدون عایق</t>
  </si>
  <si>
    <t>فوم عایق پلی‌یورتان</t>
  </si>
  <si>
    <t>ورق خارجی آلومینیوم</t>
  </si>
  <si>
    <t>ورق خارجی فولادی</t>
  </si>
  <si>
    <t>Social Score</t>
  </si>
  <si>
    <t>No Dimension</t>
  </si>
  <si>
    <t>in-situ conc</t>
  </si>
  <si>
    <t>conc filler slab</t>
  </si>
  <si>
    <t>polystyrene filler slab</t>
  </si>
  <si>
    <t>waffle slab</t>
  </si>
  <si>
    <t>composite</t>
  </si>
  <si>
    <t>brick wall</t>
  </si>
  <si>
    <t>hollow brick wall</t>
  </si>
  <si>
    <t>honeycomb clay block</t>
  </si>
  <si>
    <t>leca block</t>
  </si>
  <si>
    <t>aac block</t>
  </si>
  <si>
    <t>plasterboard</t>
  </si>
  <si>
    <t>3d panel</t>
  </si>
  <si>
    <t>wallcrete</t>
  </si>
  <si>
    <t>alum sandwich panel</t>
  </si>
  <si>
    <t>steel sandwich panel</t>
  </si>
  <si>
    <t>ceramic floor</t>
  </si>
  <si>
    <t>pvc</t>
  </si>
  <si>
    <t>stone</t>
  </si>
  <si>
    <t>terazzo</t>
  </si>
  <si>
    <t>laminated</t>
  </si>
  <si>
    <t>epoxy</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</si>
</sst>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_);_(* \(#,##0\);_(* &quot;-&quot;??_);_(@_)"/>
    <numFmt numFmtId="165" formatCode="[$-2000401]0"/>
    <numFmt numFmtId="166" formatCode="[$-2000401]0.0"/>
    <numFmt numFmtId="167" formatCode="[$-2000401]0.00"/>
  </numFmts>
  <fonts count="13" x14ac:knownFonts="1">
    <font>
      <sz val="11"/>
      <color theme="1"/>
      <name val="Calibri"/>
      <family val="2"/>
      <scheme val="minor"/>
    </font>
    <font>
      <sz val="11"/>
      <color theme="1"/>
      <name val="Calibri"/>
      <family val="2"/>
      <scheme val="minor"/>
    </font>
    <font>
      <vertAlign val="superscript"/>
      <sz val="11"/>
      <color theme="1"/>
      <name val="Calibri"/>
      <family val="2"/>
      <scheme val="minor"/>
    </font>
    <font>
      <sz val="14"/>
      <color theme="1"/>
      <name val="Times New Roman"/>
      <family val="1"/>
    </font>
    <font>
      <sz val="14"/>
      <color theme="1"/>
      <name val="B Nazanin"/>
      <charset val="178"/>
    </font>
    <font>
      <sz val="12"/>
      <color theme="1"/>
      <name val="Times New Roman"/>
      <family val="1"/>
    </font>
    <font>
      <sz val="12"/>
      <color theme="1"/>
      <name val="B Nazanin"/>
      <charset val="178"/>
    </font>
    <font>
      <sz val="11"/>
      <color theme="1"/>
      <name val="B Nazanin"/>
      <charset val="178"/>
    </font>
    <font>
      <sz val="11"/>
      <color theme="1"/>
      <name val="Times New Roman"/>
      <family val="1"/>
    </font>
    <font>
      <vertAlign val="superscript"/>
      <sz val="11"/>
      <color theme="1"/>
      <name val="B Nazanin"/>
      <charset val="178"/>
    </font>
    <font>
      <vertAlign val="superscript"/>
      <sz val="12"/>
      <color theme="1"/>
      <name val="B Nazanin"/>
      <charset val="178"/>
    </font>
    <font>
      <b/>
      <sz val="36"/>
      <color theme="1"/>
      <name val="B Nazanin"/>
      <charset val="178"/>
    </font>
    <font>
      <sz val="10"/>
      <color theme="1"/>
      <name val="Arial"/>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43" fontId="1" fillId="0" borderId="0" applyFont="0" applyFill="0" applyBorder="0" applyAlignment="0" applyProtection="0"/>
  </cellStyleXfs>
  <cellXfs count="152">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164" fontId="0" fillId="0" borderId="2" xfId="1" applyNumberFormat="1" applyFont="1" applyBorder="1" applyAlignment="1">
      <alignment horizontal="center" vertical="center" wrapText="1"/>
    </xf>
    <xf numFmtId="164" fontId="0" fillId="0" borderId="0" xfId="1" applyNumberFormat="1" applyFont="1" applyBorder="1" applyAlignment="1">
      <alignment horizontal="center" vertical="center" wrapText="1"/>
    </xf>
    <xf numFmtId="164" fontId="0" fillId="0" borderId="7" xfId="1" applyNumberFormat="1"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0" xfId="0" applyFont="1" applyFill="1" applyAlignment="1">
      <alignment horizontal="center" vertical="center"/>
    </xf>
    <xf numFmtId="0" fontId="3" fillId="0" borderId="0" xfId="0" applyFont="1" applyFill="1" applyAlignment="1">
      <alignment horizontal="center" vertical="center" wrapText="1"/>
    </xf>
    <xf numFmtId="0" fontId="6" fillId="0" borderId="0" xfId="0" applyFont="1" applyFill="1" applyAlignment="1">
      <alignment horizontal="center" vertical="center"/>
    </xf>
    <xf numFmtId="0" fontId="7" fillId="0" borderId="0" xfId="0" applyFont="1" applyFill="1" applyAlignment="1">
      <alignment horizontal="center" vertical="center"/>
    </xf>
    <xf numFmtId="0" fontId="8" fillId="0" borderId="0" xfId="0" applyFont="1" applyAlignment="1">
      <alignment horizontal="center" vertical="center"/>
    </xf>
    <xf numFmtId="0" fontId="8" fillId="0" borderId="0" xfId="0" applyFont="1" applyFill="1" applyAlignment="1">
      <alignment horizontal="center" vertical="center"/>
    </xf>
    <xf numFmtId="0" fontId="6" fillId="0" borderId="0" xfId="0" applyFont="1" applyAlignment="1">
      <alignment horizontal="center" vertical="center"/>
    </xf>
    <xf numFmtId="0" fontId="8" fillId="0" borderId="1" xfId="0" applyFont="1" applyFill="1" applyBorder="1" applyAlignment="1">
      <alignment horizontal="center" vertical="center"/>
    </xf>
    <xf numFmtId="0" fontId="8" fillId="0" borderId="2" xfId="0" applyFont="1" applyFill="1" applyBorder="1" applyAlignment="1">
      <alignment horizontal="center" vertical="center"/>
    </xf>
    <xf numFmtId="0" fontId="6" fillId="0" borderId="2" xfId="0" applyFont="1" applyFill="1" applyBorder="1" applyAlignment="1">
      <alignment horizontal="center" vertical="center"/>
    </xf>
    <xf numFmtId="49" fontId="7" fillId="0"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164" fontId="6" fillId="0" borderId="3" xfId="1" applyNumberFormat="1" applyFont="1" applyFill="1" applyBorder="1" applyAlignment="1">
      <alignment vertical="center"/>
    </xf>
    <xf numFmtId="0" fontId="8" fillId="0" borderId="4" xfId="0" applyFont="1" applyFill="1" applyBorder="1" applyAlignment="1">
      <alignment horizontal="center" vertical="center"/>
    </xf>
    <xf numFmtId="0" fontId="8" fillId="0" borderId="0" xfId="0" applyFont="1" applyFill="1" applyBorder="1" applyAlignment="1">
      <alignment horizontal="center" vertical="center"/>
    </xf>
    <xf numFmtId="0" fontId="6" fillId="0" borderId="0" xfId="0" applyFont="1" applyFill="1" applyBorder="1" applyAlignment="1">
      <alignment horizontal="center" vertical="center"/>
    </xf>
    <xf numFmtId="49" fontId="7" fillId="0" borderId="0" xfId="0" applyNumberFormat="1" applyFont="1" applyFill="1" applyBorder="1" applyAlignment="1">
      <alignment horizontal="center" vertical="center"/>
    </xf>
    <xf numFmtId="165" fontId="6" fillId="0" borderId="0" xfId="0" applyNumberFormat="1" applyFont="1" applyFill="1" applyBorder="1" applyAlignment="1">
      <alignment horizontal="center" vertical="center"/>
    </xf>
    <xf numFmtId="164" fontId="6" fillId="0" borderId="5" xfId="1" applyNumberFormat="1" applyFont="1" applyFill="1" applyBorder="1" applyAlignment="1">
      <alignment vertical="center"/>
    </xf>
    <xf numFmtId="0" fontId="6" fillId="0" borderId="0" xfId="0" applyFont="1" applyFill="1" applyBorder="1" applyAlignment="1">
      <alignment horizontal="center" vertical="center" wrapText="1"/>
    </xf>
    <xf numFmtId="0" fontId="6" fillId="2" borderId="0"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7" xfId="0" applyFont="1" applyFill="1" applyBorder="1" applyAlignment="1">
      <alignment horizontal="center" vertical="center"/>
    </xf>
    <xf numFmtId="0" fontId="6" fillId="0" borderId="7" xfId="0" applyFont="1" applyFill="1" applyBorder="1" applyAlignment="1">
      <alignment horizontal="center" vertical="center"/>
    </xf>
    <xf numFmtId="49" fontId="7" fillId="0" borderId="7" xfId="0" applyNumberFormat="1" applyFont="1" applyFill="1" applyBorder="1" applyAlignment="1">
      <alignment horizontal="center" vertical="center"/>
    </xf>
    <xf numFmtId="0" fontId="6" fillId="2" borderId="7" xfId="0" applyFont="1" applyFill="1" applyBorder="1" applyAlignment="1">
      <alignment horizontal="center" vertical="center"/>
    </xf>
    <xf numFmtId="164" fontId="6" fillId="0" borderId="8" xfId="1" applyNumberFormat="1" applyFont="1" applyFill="1" applyBorder="1" applyAlignment="1">
      <alignment vertical="center"/>
    </xf>
    <xf numFmtId="0" fontId="8" fillId="3" borderId="0" xfId="0" applyFont="1" applyFill="1" applyBorder="1" applyAlignment="1">
      <alignment horizontal="center" vertical="center"/>
    </xf>
    <xf numFmtId="0" fontId="6" fillId="0" borderId="5" xfId="0" applyFont="1" applyFill="1" applyBorder="1" applyAlignment="1">
      <alignment vertical="center"/>
    </xf>
    <xf numFmtId="0" fontId="6" fillId="0" borderId="5" xfId="0" applyFont="1" applyFill="1" applyBorder="1" applyAlignment="1">
      <alignment horizontal="center" vertical="center"/>
    </xf>
    <xf numFmtId="0" fontId="6" fillId="3" borderId="7" xfId="0" applyFont="1" applyFill="1" applyBorder="1" applyAlignment="1">
      <alignment horizontal="center" vertical="center"/>
    </xf>
    <xf numFmtId="49" fontId="7" fillId="3" borderId="7" xfId="0" applyNumberFormat="1" applyFont="1" applyFill="1" applyBorder="1" applyAlignment="1">
      <alignment horizontal="center" vertical="center"/>
    </xf>
    <xf numFmtId="0" fontId="6" fillId="3" borderId="8" xfId="0" applyFont="1" applyFill="1" applyBorder="1" applyAlignment="1">
      <alignment horizontal="center" vertical="center"/>
    </xf>
    <xf numFmtId="0" fontId="8" fillId="3" borderId="2"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0" xfId="0" applyFont="1" applyFill="1" applyBorder="1" applyAlignment="1">
      <alignment horizontal="center" vertical="center"/>
    </xf>
    <xf numFmtId="0" fontId="7" fillId="0" borderId="5" xfId="0" applyFont="1" applyFill="1" applyBorder="1" applyAlignment="1">
      <alignment horizontal="center" vertical="center"/>
    </xf>
    <xf numFmtId="0" fontId="6" fillId="0" borderId="8" xfId="0" applyFont="1" applyFill="1" applyBorder="1" applyAlignment="1">
      <alignment horizontal="center" vertical="center"/>
    </xf>
    <xf numFmtId="0" fontId="7" fillId="0" borderId="0" xfId="0" applyFont="1" applyAlignment="1">
      <alignment horizontal="center" vertical="center"/>
    </xf>
    <xf numFmtId="0" fontId="0" fillId="0" borderId="0" xfId="0" applyFill="1"/>
    <xf numFmtId="49" fontId="7"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6" fillId="0" borderId="2"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Border="1" applyAlignment="1">
      <alignment horizontal="center" vertical="center"/>
    </xf>
    <xf numFmtId="0" fontId="6" fillId="0" borderId="0" xfId="0" applyFont="1" applyBorder="1" applyAlignment="1">
      <alignment horizontal="center" vertical="center"/>
    </xf>
    <xf numFmtId="0" fontId="7" fillId="0" borderId="0" xfId="0" applyFont="1" applyBorder="1" applyAlignment="1">
      <alignment horizontal="center" vertical="center"/>
    </xf>
    <xf numFmtId="0" fontId="7" fillId="2" borderId="0" xfId="0" applyFont="1" applyFill="1" applyBorder="1" applyAlignment="1">
      <alignment horizontal="center" vertical="center"/>
    </xf>
    <xf numFmtId="0" fontId="7"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6" fillId="0" borderId="7" xfId="0" applyFont="1" applyBorder="1" applyAlignment="1">
      <alignment horizontal="center" vertical="center"/>
    </xf>
    <xf numFmtId="0" fontId="7" fillId="0" borderId="7" xfId="0" applyFont="1" applyBorder="1" applyAlignment="1">
      <alignment horizontal="center" vertical="center"/>
    </xf>
    <xf numFmtId="164" fontId="7" fillId="0" borderId="7" xfId="1" applyNumberFormat="1" applyFont="1" applyBorder="1" applyAlignment="1">
      <alignment horizontal="center" vertical="center"/>
    </xf>
    <xf numFmtId="0" fontId="7" fillId="0" borderId="8" xfId="0" applyFont="1" applyBorder="1" applyAlignment="1">
      <alignment horizontal="center" vertical="center"/>
    </xf>
    <xf numFmtId="165" fontId="7" fillId="0" borderId="2" xfId="0" applyNumberFormat="1" applyFont="1" applyBorder="1" applyAlignment="1">
      <alignment horizontal="center" vertical="center"/>
    </xf>
    <xf numFmtId="165" fontId="7" fillId="0" borderId="0" xfId="0" applyNumberFormat="1" applyFont="1" applyBorder="1" applyAlignment="1">
      <alignment horizontal="center" vertical="center"/>
    </xf>
    <xf numFmtId="165" fontId="7" fillId="0" borderId="7" xfId="0" applyNumberFormat="1" applyFont="1" applyBorder="1" applyAlignment="1">
      <alignment horizontal="center" vertical="center"/>
    </xf>
    <xf numFmtId="166" fontId="7" fillId="0" borderId="0" xfId="0" applyNumberFormat="1" applyFont="1" applyBorder="1" applyAlignment="1">
      <alignment horizontal="center" vertical="center"/>
    </xf>
    <xf numFmtId="49" fontId="7" fillId="0" borderId="0" xfId="0" applyNumberFormat="1" applyFont="1" applyBorder="1" applyAlignment="1">
      <alignment horizontal="center" vertical="center"/>
    </xf>
    <xf numFmtId="49" fontId="7" fillId="0" borderId="7" xfId="0" applyNumberFormat="1" applyFont="1" applyBorder="1" applyAlignment="1">
      <alignment horizontal="center" vertical="center"/>
    </xf>
    <xf numFmtId="49" fontId="7" fillId="0" borderId="2" xfId="0" applyNumberFormat="1" applyFont="1" applyBorder="1" applyAlignment="1">
      <alignment horizontal="center" vertical="center"/>
    </xf>
    <xf numFmtId="0" fontId="7" fillId="2" borderId="2" xfId="0" applyFont="1" applyFill="1" applyBorder="1" applyAlignment="1">
      <alignment horizontal="center" vertical="center"/>
    </xf>
    <xf numFmtId="0" fontId="6" fillId="0" borderId="2" xfId="0" applyFont="1" applyBorder="1" applyAlignment="1">
      <alignment horizontal="center" vertical="center" readingOrder="2"/>
    </xf>
    <xf numFmtId="0" fontId="7" fillId="0" borderId="2" xfId="0" applyFont="1" applyBorder="1" applyAlignment="1">
      <alignment horizontal="center" vertical="center" wrapText="1"/>
    </xf>
    <xf numFmtId="0" fontId="6" fillId="0" borderId="0" xfId="0" applyFont="1" applyBorder="1" applyAlignment="1">
      <alignment horizontal="center" vertical="center" readingOrder="2"/>
    </xf>
    <xf numFmtId="0" fontId="7" fillId="2" borderId="0" xfId="0" applyFont="1" applyFill="1" applyBorder="1" applyAlignment="1">
      <alignment horizontal="center" vertical="center" wrapText="1"/>
    </xf>
    <xf numFmtId="0" fontId="6" fillId="0" borderId="7" xfId="0" applyFont="1" applyBorder="1" applyAlignment="1">
      <alignment horizontal="center" vertical="center" readingOrder="2"/>
    </xf>
    <xf numFmtId="0" fontId="7" fillId="2" borderId="2" xfId="0" applyFont="1" applyFill="1" applyBorder="1" applyAlignment="1">
      <alignment horizontal="center" vertical="center" wrapText="1"/>
    </xf>
    <xf numFmtId="0" fontId="7" fillId="0" borderId="0" xfId="0" applyFont="1" applyBorder="1" applyAlignment="1">
      <alignment horizontal="center" vertical="center" wrapText="1"/>
    </xf>
    <xf numFmtId="0" fontId="7" fillId="0" borderId="0" xfId="0" applyFont="1"/>
    <xf numFmtId="0" fontId="6" fillId="0" borderId="3" xfId="0" applyFont="1" applyBorder="1" applyAlignment="1">
      <alignment horizontal="center" vertical="center"/>
    </xf>
    <xf numFmtId="0" fontId="6" fillId="0" borderId="5" xfId="0" applyFont="1" applyBorder="1" applyAlignment="1">
      <alignment horizontal="center" vertical="center"/>
    </xf>
    <xf numFmtId="164" fontId="6" fillId="0" borderId="7" xfId="1" applyNumberFormat="1" applyFont="1" applyBorder="1" applyAlignment="1">
      <alignment horizontal="center" vertical="center"/>
    </xf>
    <xf numFmtId="0" fontId="6" fillId="0" borderId="8" xfId="0" applyFont="1" applyBorder="1" applyAlignment="1">
      <alignment horizontal="center" vertical="center"/>
    </xf>
    <xf numFmtId="0" fontId="0" fillId="0" borderId="0" xfId="0" applyBorder="1"/>
    <xf numFmtId="0" fontId="0" fillId="0" borderId="7" xfId="0" applyBorder="1"/>
    <xf numFmtId="165" fontId="8" fillId="0" borderId="0" xfId="0" applyNumberFormat="1" applyFont="1" applyAlignment="1">
      <alignment horizontal="center" vertical="center"/>
    </xf>
    <xf numFmtId="0" fontId="5" fillId="0" borderId="0" xfId="0" applyFont="1" applyAlignment="1">
      <alignment horizontal="center" vertical="center" wrapText="1"/>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6"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8" fillId="3" borderId="16"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0" xfId="0" applyFont="1" applyFill="1" applyBorder="1" applyAlignment="1">
      <alignment horizontal="center" vertical="center"/>
    </xf>
    <xf numFmtId="0" fontId="7" fillId="0" borderId="21" xfId="0" applyFont="1" applyBorder="1" applyAlignment="1">
      <alignment horizontal="center" vertical="center"/>
    </xf>
    <xf numFmtId="0" fontId="7" fillId="0" borderId="25" xfId="0" applyFont="1" applyBorder="1" applyAlignment="1">
      <alignment horizontal="center" vertical="center"/>
    </xf>
    <xf numFmtId="0" fontId="7" fillId="0" borderId="24" xfId="0" applyFont="1" applyBorder="1" applyAlignment="1">
      <alignment horizontal="center" vertical="center"/>
    </xf>
    <xf numFmtId="0" fontId="8" fillId="3" borderId="20" xfId="0" applyFont="1" applyFill="1" applyBorder="1" applyAlignment="1">
      <alignment horizontal="center" vertical="center"/>
    </xf>
    <xf numFmtId="0" fontId="6" fillId="0" borderId="12" xfId="0" applyFont="1" applyBorder="1" applyAlignment="1">
      <alignment horizontal="center" vertical="center"/>
    </xf>
    <xf numFmtId="0" fontId="6" fillId="0" borderId="16" xfId="0" applyFont="1" applyBorder="1" applyAlignment="1">
      <alignment horizontal="center" vertical="center"/>
    </xf>
    <xf numFmtId="0" fontId="6" fillId="0" borderId="20" xfId="0" applyFont="1" applyBorder="1" applyAlignment="1">
      <alignment horizontal="center" vertical="center"/>
    </xf>
    <xf numFmtId="0" fontId="6" fillId="0" borderId="23" xfId="0" applyFont="1" applyBorder="1" applyAlignment="1">
      <alignment horizontal="center" vertical="center"/>
    </xf>
    <xf numFmtId="0" fontId="6" fillId="0" borderId="18" xfId="0" applyFont="1" applyFill="1" applyBorder="1" applyAlignment="1">
      <alignment horizontal="center" vertical="center"/>
    </xf>
    <xf numFmtId="0" fontId="6" fillId="0" borderId="25" xfId="0" applyFont="1" applyFill="1" applyBorder="1" applyAlignment="1">
      <alignment horizontal="center" vertical="center"/>
    </xf>
    <xf numFmtId="0" fontId="6" fillId="0" borderId="21" xfId="0" applyFont="1" applyBorder="1" applyAlignment="1">
      <alignment horizontal="center" vertical="center" readingOrder="2"/>
    </xf>
    <xf numFmtId="0" fontId="8" fillId="0" borderId="18" xfId="0" applyFont="1" applyBorder="1" applyAlignment="1">
      <alignment horizontal="center" vertical="center"/>
    </xf>
    <xf numFmtId="0" fontId="8" fillId="0" borderId="25" xfId="0" applyFont="1" applyBorder="1" applyAlignment="1">
      <alignment horizontal="center" vertical="center"/>
    </xf>
    <xf numFmtId="0" fontId="0" fillId="0" borderId="25" xfId="0" applyBorder="1"/>
    <xf numFmtId="0" fontId="8" fillId="0" borderId="0" xfId="0" applyFont="1" applyAlignment="1">
      <alignment horizontal="center" vertical="center"/>
    </xf>
    <xf numFmtId="0" fontId="8" fillId="3" borderId="0" xfId="0" applyFont="1" applyFill="1" applyAlignment="1">
      <alignment horizontal="center" vertical="center"/>
    </xf>
    <xf numFmtId="0" fontId="6" fillId="3" borderId="0" xfId="0" applyFont="1" applyFill="1" applyAlignment="1">
      <alignment horizontal="center" vertical="center"/>
    </xf>
    <xf numFmtId="0" fontId="6" fillId="0" borderId="16" xfId="0" applyFont="1" applyBorder="1" applyAlignment="1">
      <alignment horizontal="center" vertical="center" readingOrder="2"/>
    </xf>
    <xf numFmtId="0" fontId="6" fillId="0" borderId="20" xfId="0" applyFont="1" applyBorder="1" applyAlignment="1">
      <alignment horizontal="center" vertical="center" readingOrder="2"/>
    </xf>
    <xf numFmtId="0" fontId="6" fillId="0" borderId="23" xfId="0" applyFont="1" applyBorder="1" applyAlignment="1">
      <alignment horizontal="center" vertical="center" readingOrder="2"/>
    </xf>
    <xf numFmtId="167" fontId="7" fillId="0" borderId="2" xfId="0" applyNumberFormat="1" applyFont="1" applyBorder="1" applyAlignment="1">
      <alignment horizontal="center" vertical="center"/>
    </xf>
    <xf numFmtId="43" fontId="0" fillId="0" borderId="2" xfId="1" applyNumberFormat="1" applyFont="1" applyBorder="1" applyAlignment="1">
      <alignment horizontal="center" vertical="center"/>
    </xf>
    <xf numFmtId="43" fontId="0" fillId="0" borderId="0" xfId="1" applyNumberFormat="1" applyFont="1" applyBorder="1" applyAlignment="1">
      <alignment horizontal="center" vertical="center"/>
    </xf>
    <xf numFmtId="43" fontId="0" fillId="0" borderId="7" xfId="1" applyNumberFormat="1" applyFont="1" applyBorder="1" applyAlignment="1">
      <alignment horizontal="center" vertical="center"/>
    </xf>
    <xf numFmtId="0" fontId="0" fillId="0" borderId="26" xfId="0" applyBorder="1" applyAlignment="1">
      <alignment horizontal="center" vertical="center"/>
    </xf>
    <xf numFmtId="43" fontId="0" fillId="0" borderId="3" xfId="1" applyFont="1" applyBorder="1" applyAlignment="1">
      <alignment horizontal="center" vertical="center"/>
    </xf>
    <xf numFmtId="43" fontId="0" fillId="0" borderId="5" xfId="1" applyFont="1" applyBorder="1" applyAlignment="1">
      <alignment horizontal="center" vertical="center"/>
    </xf>
    <xf numFmtId="43" fontId="0" fillId="0" borderId="8" xfId="1" applyFont="1" applyBorder="1" applyAlignment="1">
      <alignment horizontal="center" vertical="center"/>
    </xf>
    <xf numFmtId="0" fontId="12" fillId="0" borderId="0" xfId="0" applyFont="1"/>
    <xf numFmtId="0" fontId="11" fillId="0" borderId="0" xfId="0" applyFont="1" applyAlignment="1">
      <alignment horizontal="center" vertical="center"/>
    </xf>
    <xf numFmtId="0" fontId="8" fillId="0" borderId="18" xfId="0" applyFont="1" applyBorder="1" applyAlignment="1">
      <alignment horizontal="center" vertical="center"/>
    </xf>
    <xf numFmtId="0" fontId="8" fillId="0" borderId="0" xfId="0" applyFont="1" applyAlignment="1">
      <alignment horizontal="center" vertical="center"/>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rightToLeft="1" zoomScale="70" zoomScaleNormal="70" workbookViewId="0">
      <selection activeCell="D14" sqref="D14"/>
    </sheetView>
  </sheetViews>
  <sheetFormatPr defaultRowHeight="15" x14ac:dyDescent="0.25"/>
  <cols>
    <col min="1" max="1" width="18.5703125" style="1" bestFit="1" customWidth="1"/>
    <col min="2" max="2" width="39.28515625" style="1" bestFit="1" customWidth="1"/>
    <col min="3" max="3" width="12" style="2" bestFit="1" customWidth="1"/>
    <col min="4" max="4" width="17.85546875" style="1" bestFit="1" customWidth="1"/>
    <col min="5" max="5" width="14.28515625" style="1" bestFit="1" customWidth="1"/>
    <col min="6" max="16384" width="9.140625" style="1"/>
  </cols>
  <sheetData>
    <row r="1" spans="1:5" ht="40.5" customHeight="1" thickBot="1" x14ac:dyDescent="0.3">
      <c r="A1" s="9" t="s">
        <v>1</v>
      </c>
      <c r="B1" s="10" t="s">
        <v>0</v>
      </c>
      <c r="C1" s="10" t="s">
        <v>37</v>
      </c>
      <c r="D1" s="10" t="s">
        <v>38</v>
      </c>
      <c r="E1" s="144" t="s">
        <v>390</v>
      </c>
    </row>
    <row r="2" spans="1:5" ht="18" thickBot="1" x14ac:dyDescent="0.3">
      <c r="A2" s="3"/>
      <c r="B2" s="4"/>
      <c r="C2" s="14" t="s">
        <v>39</v>
      </c>
      <c r="D2" s="14" t="s">
        <v>40</v>
      </c>
      <c r="E2" s="15" t="s">
        <v>391</v>
      </c>
    </row>
    <row r="3" spans="1:5" x14ac:dyDescent="0.25">
      <c r="A3" s="3" t="s">
        <v>2</v>
      </c>
      <c r="B3" s="4" t="s">
        <v>6</v>
      </c>
      <c r="C3" s="11">
        <f>'M01'!J19</f>
        <v>4738265</v>
      </c>
      <c r="D3" s="141">
        <f>'M01'!T9</f>
        <v>594.55999999999995</v>
      </c>
      <c r="E3" s="145">
        <f>Social!C1</f>
        <v>3.2307692307692317</v>
      </c>
    </row>
    <row r="4" spans="1:5" x14ac:dyDescent="0.25">
      <c r="A4" s="5" t="s">
        <v>2</v>
      </c>
      <c r="B4" s="6" t="s">
        <v>7</v>
      </c>
      <c r="C4" s="12">
        <f>'M01'!J35</f>
        <v>4740620</v>
      </c>
      <c r="D4" s="142">
        <f>'M01'!T12</f>
        <v>580.36999999999989</v>
      </c>
      <c r="E4" s="146">
        <f>Social!C2</f>
        <v>3.2307692307692317</v>
      </c>
    </row>
    <row r="5" spans="1:5" x14ac:dyDescent="0.25">
      <c r="A5" s="5" t="s">
        <v>2</v>
      </c>
      <c r="B5" s="6" t="s">
        <v>8</v>
      </c>
      <c r="C5" s="12">
        <f>'M01'!J4</f>
        <v>4744940</v>
      </c>
      <c r="D5" s="142">
        <f>'M01'!T6</f>
        <v>641.8599999999999</v>
      </c>
      <c r="E5" s="146">
        <f>Social!C3</f>
        <v>3.2307692307692317</v>
      </c>
    </row>
    <row r="6" spans="1:5" x14ac:dyDescent="0.25">
      <c r="A6" s="5" t="s">
        <v>2</v>
      </c>
      <c r="B6" s="6" t="s">
        <v>9</v>
      </c>
      <c r="C6" s="12">
        <f>'M01'!J63</f>
        <v>4895745</v>
      </c>
      <c r="D6" s="142">
        <f>'M01'!T23</f>
        <v>496.05099999999993</v>
      </c>
      <c r="E6" s="146">
        <f>Social!C4</f>
        <v>4.4372469635627541</v>
      </c>
    </row>
    <row r="7" spans="1:5" x14ac:dyDescent="0.25">
      <c r="A7" s="5" t="s">
        <v>2</v>
      </c>
      <c r="B7" s="6" t="s">
        <v>10</v>
      </c>
      <c r="C7" s="12">
        <f>'M01'!J58</f>
        <v>3954000</v>
      </c>
      <c r="D7" s="142">
        <f>'M01'!T20</f>
        <v>736.57399999999996</v>
      </c>
      <c r="E7" s="146">
        <f>Social!C5</f>
        <v>3.7246963562753046</v>
      </c>
    </row>
    <row r="8" spans="1:5" x14ac:dyDescent="0.25">
      <c r="A8" s="5" t="s">
        <v>2</v>
      </c>
      <c r="B8" s="6" t="s">
        <v>11</v>
      </c>
      <c r="C8" s="12">
        <f>'M01'!J51</f>
        <v>3220000</v>
      </c>
      <c r="D8" s="142">
        <f>'M01'!T16</f>
        <v>581.17399999999998</v>
      </c>
      <c r="E8" s="146">
        <f>Social!C6</f>
        <v>2.9595141700404866</v>
      </c>
    </row>
    <row r="9" spans="1:5" ht="15.75" thickBot="1" x14ac:dyDescent="0.3">
      <c r="A9" s="7" t="s">
        <v>2</v>
      </c>
      <c r="B9" s="8" t="s">
        <v>12</v>
      </c>
      <c r="C9" s="13">
        <f>'M01'!J81</f>
        <v>4636120</v>
      </c>
      <c r="D9" s="143">
        <f>'M01'!T27</f>
        <v>532.32299999999998</v>
      </c>
      <c r="E9" s="147">
        <f>Social!C7</f>
        <v>3.6599190283400813</v>
      </c>
    </row>
    <row r="10" spans="1:5" x14ac:dyDescent="0.25">
      <c r="A10" s="3" t="s">
        <v>3</v>
      </c>
      <c r="B10" s="4" t="s">
        <v>13</v>
      </c>
      <c r="C10" s="11">
        <f>'M05'!H29</f>
        <v>3298000</v>
      </c>
      <c r="D10" s="141">
        <f>'M05'!T15</f>
        <v>68.585000000000008</v>
      </c>
      <c r="E10" s="145">
        <f>Social!C8</f>
        <v>3.2550607287449398</v>
      </c>
    </row>
    <row r="11" spans="1:5" x14ac:dyDescent="0.25">
      <c r="A11" s="5" t="s">
        <v>3</v>
      </c>
      <c r="B11" s="6" t="s">
        <v>14</v>
      </c>
      <c r="C11" s="12">
        <f>'M05'!H9</f>
        <v>1313000</v>
      </c>
      <c r="D11" s="142">
        <f>'M05'!T6</f>
        <v>197.74519999999998</v>
      </c>
      <c r="E11" s="146">
        <f>Social!C9</f>
        <v>3.4291497975708509</v>
      </c>
    </row>
    <row r="12" spans="1:5" x14ac:dyDescent="0.25">
      <c r="A12" s="5" t="s">
        <v>3</v>
      </c>
      <c r="B12" s="6" t="s">
        <v>15</v>
      </c>
      <c r="C12" s="12">
        <f>'M05'!H25</f>
        <v>2540000</v>
      </c>
      <c r="D12" s="142">
        <f>'M05'!T14</f>
        <v>262.14519999999999</v>
      </c>
      <c r="E12" s="146">
        <f>Social!C10</f>
        <v>3.9919028340080978</v>
      </c>
    </row>
    <row r="13" spans="1:5" x14ac:dyDescent="0.25">
      <c r="A13" s="5" t="s">
        <v>3</v>
      </c>
      <c r="B13" s="6" t="s">
        <v>16</v>
      </c>
      <c r="C13" s="12">
        <f>'M05'!H33</f>
        <v>772000</v>
      </c>
      <c r="D13" s="142">
        <f>'M05'!T22</f>
        <v>97.953199999999995</v>
      </c>
      <c r="E13" s="146">
        <f>Social!C11</f>
        <v>2.004048582995952</v>
      </c>
    </row>
    <row r="14" spans="1:5" x14ac:dyDescent="0.25">
      <c r="A14" s="5" t="s">
        <v>3</v>
      </c>
      <c r="B14" s="6" t="s">
        <v>17</v>
      </c>
      <c r="C14" s="12">
        <f>'M05'!H36</f>
        <v>1890000</v>
      </c>
      <c r="D14" s="142">
        <f>'M05'!U23</f>
        <v>277</v>
      </c>
      <c r="E14" s="146">
        <f>Social!C12</f>
        <v>4.1093117408906892</v>
      </c>
    </row>
    <row r="15" spans="1:5" ht="15.75" thickBot="1" x14ac:dyDescent="0.3">
      <c r="A15" s="7" t="s">
        <v>3</v>
      </c>
      <c r="B15" s="8" t="s">
        <v>18</v>
      </c>
      <c r="C15" s="13">
        <f>'M05'!H18</f>
        <v>1653000</v>
      </c>
      <c r="D15" s="143">
        <f>'M05'!T7</f>
        <v>165.76</v>
      </c>
      <c r="E15" s="147">
        <f>Social!C13</f>
        <v>3.2408906882591104</v>
      </c>
    </row>
    <row r="16" spans="1:5" x14ac:dyDescent="0.25">
      <c r="A16" s="3" t="s">
        <v>4</v>
      </c>
      <c r="B16" s="4" t="s">
        <v>19</v>
      </c>
      <c r="C16" s="11">
        <f>'M03'!H16</f>
        <v>2534400</v>
      </c>
      <c r="D16" s="141">
        <f>'M03'!T10</f>
        <v>837.8</v>
      </c>
      <c r="E16" s="145">
        <f>Social!C14</f>
        <v>2.5708502024291495</v>
      </c>
    </row>
    <row r="17" spans="1:5" x14ac:dyDescent="0.25">
      <c r="A17" s="5" t="s">
        <v>4</v>
      </c>
      <c r="B17" s="6" t="s">
        <v>20</v>
      </c>
      <c r="C17" s="12">
        <f>'M03'!H9</f>
        <v>2243400</v>
      </c>
      <c r="D17" s="142">
        <f>'M03'!T6</f>
        <v>1639.7</v>
      </c>
      <c r="E17" s="146">
        <f>Social!C15</f>
        <v>2.2307692307692308</v>
      </c>
    </row>
    <row r="18" spans="1:5" x14ac:dyDescent="0.25">
      <c r="A18" s="5" t="s">
        <v>4</v>
      </c>
      <c r="B18" s="6" t="s">
        <v>21</v>
      </c>
      <c r="C18" s="12">
        <f>'M03'!H48</f>
        <v>3096000</v>
      </c>
      <c r="D18" s="142">
        <f>'M03'!T23</f>
        <v>481</v>
      </c>
      <c r="E18" s="146">
        <f>Social!C16</f>
        <v>4.3198380566801617</v>
      </c>
    </row>
    <row r="19" spans="1:5" x14ac:dyDescent="0.25">
      <c r="A19" s="5" t="s">
        <v>4</v>
      </c>
      <c r="B19" s="6" t="s">
        <v>22</v>
      </c>
      <c r="C19" s="12">
        <f>'M03'!H41</f>
        <v>2346400</v>
      </c>
      <c r="D19" s="142">
        <f>'M03'!T22</f>
        <v>338.57440000000003</v>
      </c>
      <c r="E19" s="146">
        <f>Social!C17</f>
        <v>3.9716599190283408</v>
      </c>
    </row>
    <row r="20" spans="1:5" x14ac:dyDescent="0.25">
      <c r="A20" s="5" t="s">
        <v>4</v>
      </c>
      <c r="B20" s="6" t="s">
        <v>23</v>
      </c>
      <c r="C20" s="12">
        <f>'M03'!H23</f>
        <v>2011200</v>
      </c>
      <c r="D20" s="142">
        <f>'M03'!T14</f>
        <v>335.20800000000003</v>
      </c>
      <c r="E20" s="146">
        <f>Social!C18</f>
        <v>3.5222672064777338</v>
      </c>
    </row>
    <row r="21" spans="1:5" x14ac:dyDescent="0.25">
      <c r="A21" s="5" t="s">
        <v>4</v>
      </c>
      <c r="B21" s="6" t="s">
        <v>24</v>
      </c>
      <c r="C21" s="12">
        <f>'M03'!H30</f>
        <v>2197400</v>
      </c>
      <c r="D21" s="142">
        <f>'M03'!T18</f>
        <v>241.39359999999999</v>
      </c>
      <c r="E21" s="146">
        <f>Social!C19</f>
        <v>3.9109311740890691</v>
      </c>
    </row>
    <row r="22" spans="1:5" x14ac:dyDescent="0.25">
      <c r="A22" s="5" t="s">
        <v>4</v>
      </c>
      <c r="B22" s="6" t="s">
        <v>25</v>
      </c>
      <c r="C22" s="12">
        <f>'M03'!H62</f>
        <v>2049000</v>
      </c>
      <c r="D22" s="142">
        <f>'M03'!T35</f>
        <v>441.84399999999994</v>
      </c>
      <c r="E22" s="146">
        <f>Social!C20</f>
        <v>4.7935222672064777</v>
      </c>
    </row>
    <row r="23" spans="1:5" x14ac:dyDescent="0.25">
      <c r="A23" s="5" t="s">
        <v>4</v>
      </c>
      <c r="B23" s="6" t="s">
        <v>26</v>
      </c>
      <c r="C23" s="12">
        <f>'M03'!H65</f>
        <v>4806000</v>
      </c>
      <c r="D23" s="142">
        <f>'M03'!T38</f>
        <v>900.52800000000002</v>
      </c>
      <c r="E23" s="146">
        <f>Social!C21</f>
        <v>3.4251012145748998</v>
      </c>
    </row>
    <row r="24" spans="1:5" x14ac:dyDescent="0.25">
      <c r="A24" s="5" t="s">
        <v>4</v>
      </c>
      <c r="B24" s="6" t="s">
        <v>27</v>
      </c>
      <c r="C24" s="12">
        <f>'M03'!H68</f>
        <v>4969000</v>
      </c>
      <c r="D24" s="142">
        <f>'M03'!T41</f>
        <v>428.73599999999999</v>
      </c>
      <c r="E24" s="146">
        <f>Social!C22</f>
        <v>3.8825910931174095</v>
      </c>
    </row>
    <row r="25" spans="1:5" ht="15.75" thickBot="1" x14ac:dyDescent="0.3">
      <c r="A25" s="7" t="s">
        <v>4</v>
      </c>
      <c r="B25" s="8" t="s">
        <v>28</v>
      </c>
      <c r="C25" s="13">
        <f>'M03'!H56</f>
        <v>3015700</v>
      </c>
      <c r="D25" s="143">
        <f>'M03'!T30</f>
        <v>379.3</v>
      </c>
      <c r="E25" s="147">
        <f>Social!C23</f>
        <v>4.1700404858299613</v>
      </c>
    </row>
    <row r="26" spans="1:5" x14ac:dyDescent="0.25">
      <c r="A26" s="3" t="s">
        <v>5</v>
      </c>
      <c r="B26" s="4" t="s">
        <v>29</v>
      </c>
      <c r="C26" s="11">
        <f>'M04'!H16</f>
        <v>1793900</v>
      </c>
      <c r="D26" s="141">
        <f>'M04'!T10</f>
        <v>392.3</v>
      </c>
      <c r="E26" s="145">
        <f>Social!C24</f>
        <v>2.5708502024291495</v>
      </c>
    </row>
    <row r="27" spans="1:5" x14ac:dyDescent="0.25">
      <c r="A27" s="5" t="s">
        <v>5</v>
      </c>
      <c r="B27" s="6" t="s">
        <v>30</v>
      </c>
      <c r="C27" s="12">
        <f>'M04'!H9</f>
        <v>1658400</v>
      </c>
      <c r="D27" s="142">
        <f>'M04'!T6</f>
        <v>748.7</v>
      </c>
      <c r="E27" s="146">
        <f>Social!C25</f>
        <v>2.2307692307692308</v>
      </c>
    </row>
    <row r="28" spans="1:5" x14ac:dyDescent="0.25">
      <c r="A28" s="5" t="s">
        <v>5</v>
      </c>
      <c r="B28" s="6" t="s">
        <v>31</v>
      </c>
      <c r="C28" s="12">
        <f>'M04'!H48</f>
        <v>2371000</v>
      </c>
      <c r="D28" s="142">
        <f>'M04'!T23</f>
        <v>366</v>
      </c>
      <c r="E28" s="146">
        <f>Social!C26</f>
        <v>4.3198380566801617</v>
      </c>
    </row>
    <row r="29" spans="1:5" x14ac:dyDescent="0.25">
      <c r="A29" s="5" t="s">
        <v>5</v>
      </c>
      <c r="B29" s="6" t="s">
        <v>32</v>
      </c>
      <c r="C29" s="12">
        <f>'M04'!H41</f>
        <v>1756900</v>
      </c>
      <c r="D29" s="142">
        <f>'M04'!T22</f>
        <v>169.28720000000001</v>
      </c>
      <c r="E29" s="146">
        <f>Social!C27</f>
        <v>3.9716599190283408</v>
      </c>
    </row>
    <row r="30" spans="1:5" x14ac:dyDescent="0.25">
      <c r="A30" s="5" t="s">
        <v>5</v>
      </c>
      <c r="B30" s="6" t="s">
        <v>33</v>
      </c>
      <c r="C30" s="12">
        <f>'M04'!H23</f>
        <v>1496400</v>
      </c>
      <c r="D30" s="142">
        <f>'M04'!T14</f>
        <v>167.60400000000001</v>
      </c>
      <c r="E30" s="146">
        <f>Social!C28</f>
        <v>3.5222672064777338</v>
      </c>
    </row>
    <row r="31" spans="1:5" x14ac:dyDescent="0.25">
      <c r="A31" s="5" t="s">
        <v>5</v>
      </c>
      <c r="B31" s="6" t="s">
        <v>34</v>
      </c>
      <c r="C31" s="12">
        <f>'M04'!H30</f>
        <v>1788900</v>
      </c>
      <c r="D31" s="142">
        <f>'M04'!T18</f>
        <v>120.6968</v>
      </c>
      <c r="E31" s="146">
        <f>Social!C29</f>
        <v>3.9109311740890691</v>
      </c>
    </row>
    <row r="32" spans="1:5" x14ac:dyDescent="0.25">
      <c r="A32" s="5" t="s">
        <v>5</v>
      </c>
      <c r="B32" s="6" t="s">
        <v>35</v>
      </c>
      <c r="C32" s="12">
        <f>'M04'!H62</f>
        <v>1595500</v>
      </c>
      <c r="D32" s="142">
        <f>'M04'!T35</f>
        <v>320.45799999999997</v>
      </c>
      <c r="E32" s="146">
        <f>Social!C30</f>
        <v>4.7935222672064777</v>
      </c>
    </row>
    <row r="33" spans="1:5" ht="15.75" thickBot="1" x14ac:dyDescent="0.3">
      <c r="A33" s="7" t="s">
        <v>5</v>
      </c>
      <c r="B33" s="8" t="s">
        <v>36</v>
      </c>
      <c r="C33" s="13">
        <f>'M04'!H56</f>
        <v>2738200</v>
      </c>
      <c r="D33" s="143">
        <f>'M04'!T30</f>
        <v>250.97</v>
      </c>
      <c r="E33" s="147">
        <f>Social!C31</f>
        <v>4.1700404858299613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3"/>
  <sheetViews>
    <sheetView rightToLeft="1" tabSelected="1" topLeftCell="H1" zoomScale="70" zoomScaleNormal="70" workbookViewId="0">
      <selection activeCell="V7" sqref="V7:V10"/>
    </sheetView>
  </sheetViews>
  <sheetFormatPr defaultRowHeight="18.75" x14ac:dyDescent="0.25"/>
  <cols>
    <col min="1" max="1" width="9.140625" style="20"/>
    <col min="2" max="2" width="64.42578125" style="20" bestFit="1" customWidth="1"/>
    <col min="3" max="3" width="27.42578125" style="22" bestFit="1" customWidth="1"/>
    <col min="4" max="4" width="21.7109375" style="22" customWidth="1"/>
    <col min="5" max="5" width="11.5703125" style="56" bestFit="1" customWidth="1"/>
    <col min="6" max="6" width="134.28515625" style="22" bestFit="1" customWidth="1"/>
    <col min="7" max="7" width="9.140625" style="22"/>
    <col min="8" max="8" width="13.42578125" style="22" bestFit="1" customWidth="1"/>
    <col min="9" max="9" width="9.140625" style="56"/>
    <col min="10" max="10" width="12.28515625" style="56" bestFit="1" customWidth="1"/>
    <col min="11" max="11" width="13.42578125" style="135" bestFit="1" customWidth="1"/>
    <col min="12" max="12" width="10.7109375" style="20" bestFit="1" customWidth="1"/>
    <col min="13" max="13" width="64.85546875" style="20" bestFit="1" customWidth="1"/>
    <col min="14" max="14" width="27.42578125" style="20" bestFit="1" customWidth="1"/>
    <col min="15" max="15" width="15.140625" style="20" bestFit="1" customWidth="1"/>
    <col min="16" max="19" width="9.140625" style="20"/>
    <col min="20" max="20" width="22" style="20" bestFit="1" customWidth="1"/>
    <col min="21" max="21" width="19" style="20" bestFit="1" customWidth="1"/>
    <col min="22" max="22" width="9.140625" style="135"/>
    <col min="23" max="16384" width="9.140625" style="20"/>
  </cols>
  <sheetData>
    <row r="1" spans="1:32" s="134" customFormat="1" ht="75" customHeight="1" x14ac:dyDescent="0.25">
      <c r="A1" s="149" t="s">
        <v>381</v>
      </c>
      <c r="B1" s="149"/>
      <c r="C1" s="149"/>
      <c r="D1" s="149"/>
      <c r="E1" s="149"/>
      <c r="F1" s="149"/>
      <c r="G1" s="149"/>
      <c r="H1" s="149"/>
      <c r="I1" s="149"/>
      <c r="J1" s="149"/>
      <c r="K1" s="135"/>
      <c r="L1" s="149" t="s">
        <v>382</v>
      </c>
      <c r="M1" s="149"/>
      <c r="N1" s="149"/>
      <c r="O1" s="149"/>
      <c r="P1" s="149"/>
      <c r="Q1" s="149"/>
      <c r="R1" s="149"/>
      <c r="S1" s="149"/>
      <c r="T1" s="149"/>
      <c r="U1" s="149"/>
      <c r="V1" s="135"/>
      <c r="W1" s="149" t="s">
        <v>383</v>
      </c>
      <c r="X1" s="149"/>
      <c r="Y1" s="149"/>
      <c r="Z1" s="149"/>
      <c r="AA1" s="149"/>
      <c r="AB1" s="149"/>
      <c r="AC1" s="149"/>
      <c r="AD1" s="149"/>
      <c r="AE1" s="149"/>
      <c r="AF1" s="149"/>
    </row>
    <row r="2" spans="1:32" ht="38.25" x14ac:dyDescent="0.25">
      <c r="A2" s="16" t="s">
        <v>41</v>
      </c>
      <c r="B2" s="17" t="s">
        <v>42</v>
      </c>
      <c r="C2" s="18"/>
      <c r="D2" s="18"/>
      <c r="E2" s="19"/>
      <c r="F2" s="18"/>
      <c r="G2" s="18"/>
      <c r="H2" s="18"/>
      <c r="I2" s="19"/>
      <c r="J2" s="19"/>
      <c r="L2" s="59" t="s">
        <v>41</v>
      </c>
      <c r="M2" s="60" t="s">
        <v>42</v>
      </c>
      <c r="N2" s="22"/>
      <c r="O2" s="56"/>
      <c r="P2" s="56"/>
      <c r="Q2" s="56"/>
      <c r="R2" s="56"/>
      <c r="S2" s="56"/>
      <c r="T2" s="56"/>
      <c r="U2" s="56" t="s">
        <v>317</v>
      </c>
    </row>
    <row r="3" spans="1:32" ht="21.75" thickBot="1" x14ac:dyDescent="0.3">
      <c r="A3" s="21" t="s">
        <v>43</v>
      </c>
      <c r="B3" s="21" t="s">
        <v>44</v>
      </c>
      <c r="C3" s="18" t="s">
        <v>45</v>
      </c>
      <c r="D3" s="21" t="s">
        <v>46</v>
      </c>
      <c r="E3" s="18" t="s">
        <v>47</v>
      </c>
      <c r="F3" s="18" t="s">
        <v>48</v>
      </c>
      <c r="G3" s="18" t="s">
        <v>49</v>
      </c>
      <c r="H3" s="18" t="s">
        <v>50</v>
      </c>
      <c r="I3" s="18" t="s">
        <v>51</v>
      </c>
      <c r="J3" s="18" t="s">
        <v>52</v>
      </c>
      <c r="K3" s="136"/>
      <c r="L3" s="102" t="s">
        <v>43</v>
      </c>
      <c r="M3" s="103" t="s">
        <v>44</v>
      </c>
      <c r="N3" s="104" t="s">
        <v>45</v>
      </c>
      <c r="O3" s="105" t="s">
        <v>318</v>
      </c>
      <c r="P3" s="105" t="s">
        <v>319</v>
      </c>
      <c r="Q3" s="105" t="s">
        <v>320</v>
      </c>
      <c r="R3" s="105" t="s">
        <v>321</v>
      </c>
      <c r="S3" s="105" t="s">
        <v>322</v>
      </c>
      <c r="T3" s="105" t="s">
        <v>323</v>
      </c>
      <c r="U3" s="104" t="s">
        <v>324</v>
      </c>
    </row>
    <row r="4" spans="1:32" x14ac:dyDescent="0.25">
      <c r="A4" s="23">
        <v>1.01</v>
      </c>
      <c r="B4" s="24" t="s">
        <v>53</v>
      </c>
      <c r="C4" s="25" t="s">
        <v>8</v>
      </c>
      <c r="D4" s="25" t="s">
        <v>54</v>
      </c>
      <c r="E4" s="26" t="s">
        <v>55</v>
      </c>
      <c r="F4" s="27" t="s">
        <v>56</v>
      </c>
      <c r="G4" s="25" t="s">
        <v>57</v>
      </c>
      <c r="H4" s="25">
        <v>1148000</v>
      </c>
      <c r="I4" s="25">
        <v>1</v>
      </c>
      <c r="J4" s="28">
        <f>SUMPRODUCT(H4:H18,I4:I18)</f>
        <v>4744940</v>
      </c>
      <c r="L4" s="106">
        <v>1.01</v>
      </c>
      <c r="M4" s="107" t="s">
        <v>53</v>
      </c>
      <c r="N4" s="108" t="s">
        <v>8</v>
      </c>
      <c r="O4" s="109" t="s">
        <v>325</v>
      </c>
      <c r="P4" s="109">
        <v>0.2</v>
      </c>
      <c r="Q4" s="109">
        <v>2365</v>
      </c>
      <c r="R4" s="109">
        <f>P4*Q4</f>
        <v>473</v>
      </c>
      <c r="S4" s="109">
        <v>0.82</v>
      </c>
      <c r="T4" s="109">
        <f>R4*S4</f>
        <v>387.85999999999996</v>
      </c>
      <c r="U4" s="108">
        <v>1148</v>
      </c>
    </row>
    <row r="5" spans="1:32" x14ac:dyDescent="0.25">
      <c r="A5" s="29"/>
      <c r="B5" s="30"/>
      <c r="C5" s="31"/>
      <c r="D5" s="31"/>
      <c r="E5" s="32" t="s">
        <v>58</v>
      </c>
      <c r="F5" s="31" t="s">
        <v>59</v>
      </c>
      <c r="G5" s="31" t="s">
        <v>57</v>
      </c>
      <c r="H5" s="33">
        <v>1284000</v>
      </c>
      <c r="I5" s="31"/>
      <c r="J5" s="34"/>
      <c r="L5" s="110"/>
      <c r="M5" s="111"/>
      <c r="N5" s="112"/>
      <c r="O5" s="68" t="s">
        <v>326</v>
      </c>
      <c r="P5" s="68" t="s">
        <v>327</v>
      </c>
      <c r="Q5" s="68">
        <v>7850</v>
      </c>
      <c r="R5" s="68">
        <v>20</v>
      </c>
      <c r="S5" s="68">
        <v>12.7</v>
      </c>
      <c r="T5" s="68">
        <f>R5*S5</f>
        <v>254</v>
      </c>
      <c r="U5" s="112" t="s">
        <v>328</v>
      </c>
    </row>
    <row r="6" spans="1:32" x14ac:dyDescent="0.25">
      <c r="A6" s="29"/>
      <c r="B6" s="30"/>
      <c r="C6" s="31"/>
      <c r="D6" s="31"/>
      <c r="E6" s="32" t="s">
        <v>60</v>
      </c>
      <c r="F6" s="31" t="s">
        <v>61</v>
      </c>
      <c r="G6" s="31" t="s">
        <v>57</v>
      </c>
      <c r="H6" s="33">
        <v>1470000</v>
      </c>
      <c r="I6" s="31"/>
      <c r="J6" s="34"/>
      <c r="L6" s="113"/>
      <c r="M6" s="114"/>
      <c r="N6" s="115"/>
      <c r="O6" s="116" t="s">
        <v>152</v>
      </c>
      <c r="P6" s="116"/>
      <c r="Q6" s="116"/>
      <c r="R6" s="116"/>
      <c r="S6" s="116"/>
      <c r="T6" s="116">
        <f>T4+T5</f>
        <v>641.8599999999999</v>
      </c>
      <c r="U6" s="115" t="s">
        <v>329</v>
      </c>
    </row>
    <row r="7" spans="1:32" x14ac:dyDescent="0.25">
      <c r="A7" s="29"/>
      <c r="B7" s="30"/>
      <c r="C7" s="31"/>
      <c r="D7" s="31"/>
      <c r="E7" s="32" t="s">
        <v>62</v>
      </c>
      <c r="F7" s="31" t="s">
        <v>63</v>
      </c>
      <c r="G7" s="31" t="s">
        <v>57</v>
      </c>
      <c r="H7" s="35">
        <v>1695000</v>
      </c>
      <c r="I7" s="31"/>
      <c r="J7" s="34"/>
      <c r="L7" s="106">
        <v>1.02</v>
      </c>
      <c r="M7" s="107" t="s">
        <v>91</v>
      </c>
      <c r="N7" s="108" t="s">
        <v>92</v>
      </c>
      <c r="O7" s="109" t="s">
        <v>330</v>
      </c>
      <c r="P7" s="109">
        <v>0.2</v>
      </c>
      <c r="Q7" s="109">
        <v>2365</v>
      </c>
      <c r="R7" s="109">
        <f t="shared" ref="R7:R24" si="0">P7*Q7</f>
        <v>473</v>
      </c>
      <c r="S7" s="109">
        <v>0.72</v>
      </c>
      <c r="T7" s="109">
        <f t="shared" ref="T7:T26" si="1">R7*S7</f>
        <v>340.56</v>
      </c>
      <c r="U7" s="108">
        <v>595</v>
      </c>
    </row>
    <row r="8" spans="1:32" x14ac:dyDescent="0.25">
      <c r="A8" s="29"/>
      <c r="B8" s="30"/>
      <c r="C8" s="31"/>
      <c r="D8" s="31" t="s">
        <v>64</v>
      </c>
      <c r="E8" s="32" t="s">
        <v>65</v>
      </c>
      <c r="F8" s="31" t="s">
        <v>66</v>
      </c>
      <c r="G8" s="31" t="s">
        <v>67</v>
      </c>
      <c r="H8" s="31">
        <v>156000</v>
      </c>
      <c r="I8" s="31"/>
      <c r="J8" s="34"/>
      <c r="L8" s="110"/>
      <c r="M8" s="111"/>
      <c r="N8" s="112"/>
      <c r="O8" s="68" t="s">
        <v>326</v>
      </c>
      <c r="P8" s="68" t="s">
        <v>327</v>
      </c>
      <c r="Q8" s="68">
        <v>7850</v>
      </c>
      <c r="R8" s="68">
        <v>20</v>
      </c>
      <c r="S8" s="68">
        <v>12.7</v>
      </c>
      <c r="T8" s="68">
        <f t="shared" si="1"/>
        <v>254</v>
      </c>
      <c r="U8" s="112" t="s">
        <v>331</v>
      </c>
    </row>
    <row r="9" spans="1:32" x14ac:dyDescent="0.25">
      <c r="A9" s="29"/>
      <c r="B9" s="30"/>
      <c r="C9" s="31"/>
      <c r="D9" s="31"/>
      <c r="E9" s="32" t="s">
        <v>68</v>
      </c>
      <c r="F9" s="36" t="s">
        <v>69</v>
      </c>
      <c r="G9" s="31" t="s">
        <v>67</v>
      </c>
      <c r="H9" s="31">
        <v>136000</v>
      </c>
      <c r="I9" s="31">
        <v>20</v>
      </c>
      <c r="J9" s="34"/>
      <c r="L9" s="113"/>
      <c r="M9" s="114"/>
      <c r="N9" s="115"/>
      <c r="O9" s="116" t="s">
        <v>152</v>
      </c>
      <c r="P9" s="116"/>
      <c r="Q9" s="116"/>
      <c r="R9" s="116"/>
      <c r="S9" s="116"/>
      <c r="T9" s="116">
        <f>T7+T8</f>
        <v>594.55999999999995</v>
      </c>
      <c r="U9" s="115" t="s">
        <v>332</v>
      </c>
    </row>
    <row r="10" spans="1:32" x14ac:dyDescent="0.25">
      <c r="A10" s="29"/>
      <c r="B10" s="30"/>
      <c r="C10" s="31"/>
      <c r="D10" s="31"/>
      <c r="E10" s="32" t="s">
        <v>70</v>
      </c>
      <c r="F10" s="31" t="s">
        <v>71</v>
      </c>
      <c r="G10" s="31" t="s">
        <v>67</v>
      </c>
      <c r="H10" s="31">
        <v>132000</v>
      </c>
      <c r="I10" s="31"/>
      <c r="J10" s="34"/>
      <c r="L10" s="106">
        <v>1.03</v>
      </c>
      <c r="M10" s="107" t="s">
        <v>100</v>
      </c>
      <c r="N10" s="108" t="s">
        <v>101</v>
      </c>
      <c r="O10" s="109" t="s">
        <v>333</v>
      </c>
      <c r="P10" s="109">
        <v>0.2</v>
      </c>
      <c r="Q10" s="109">
        <v>2365</v>
      </c>
      <c r="R10" s="109">
        <f t="shared" si="0"/>
        <v>473</v>
      </c>
      <c r="S10" s="109">
        <v>0.69</v>
      </c>
      <c r="T10" s="109">
        <f t="shared" si="1"/>
        <v>326.36999999999995</v>
      </c>
      <c r="U10" s="108">
        <v>605</v>
      </c>
    </row>
    <row r="11" spans="1:32" x14ac:dyDescent="0.25">
      <c r="A11" s="29"/>
      <c r="B11" s="30"/>
      <c r="C11" s="31"/>
      <c r="D11" s="31" t="s">
        <v>72</v>
      </c>
      <c r="E11" s="32" t="s">
        <v>73</v>
      </c>
      <c r="F11" s="35" t="s">
        <v>74</v>
      </c>
      <c r="G11" s="31" t="s">
        <v>75</v>
      </c>
      <c r="H11" s="31">
        <v>3949000</v>
      </c>
      <c r="I11" s="31"/>
      <c r="J11" s="34"/>
      <c r="L11" s="110"/>
      <c r="M11" s="111"/>
      <c r="N11" s="112"/>
      <c r="O11" s="68" t="s">
        <v>326</v>
      </c>
      <c r="P11" s="68" t="s">
        <v>327</v>
      </c>
      <c r="Q11" s="68">
        <v>7850</v>
      </c>
      <c r="R11" s="68">
        <v>20</v>
      </c>
      <c r="S11" s="68">
        <v>12.7</v>
      </c>
      <c r="T11" s="68">
        <f t="shared" si="1"/>
        <v>254</v>
      </c>
      <c r="U11" s="112" t="s">
        <v>331</v>
      </c>
    </row>
    <row r="12" spans="1:32" x14ac:dyDescent="0.25">
      <c r="A12" s="29"/>
      <c r="B12" s="30"/>
      <c r="C12" s="31"/>
      <c r="D12" s="31"/>
      <c r="E12" s="32" t="s">
        <v>76</v>
      </c>
      <c r="F12" s="35" t="s">
        <v>77</v>
      </c>
      <c r="G12" s="31" t="s">
        <v>75</v>
      </c>
      <c r="H12" s="31">
        <v>4164000</v>
      </c>
      <c r="I12" s="31"/>
      <c r="J12" s="34"/>
      <c r="L12" s="110"/>
      <c r="M12" s="111"/>
      <c r="N12" s="112"/>
      <c r="O12" s="68" t="s">
        <v>152</v>
      </c>
      <c r="P12" s="68"/>
      <c r="Q12" s="68"/>
      <c r="R12" s="68"/>
      <c r="S12" s="68"/>
      <c r="T12" s="68">
        <f>T10+T11</f>
        <v>580.36999999999989</v>
      </c>
      <c r="U12" s="115" t="s">
        <v>332</v>
      </c>
    </row>
    <row r="13" spans="1:32" x14ac:dyDescent="0.25">
      <c r="A13" s="29"/>
      <c r="B13" s="30" t="s">
        <v>78</v>
      </c>
      <c r="C13" s="31"/>
      <c r="D13" s="30"/>
      <c r="E13" s="32" t="s">
        <v>79</v>
      </c>
      <c r="F13" s="31" t="s">
        <v>80</v>
      </c>
      <c r="G13" s="31" t="s">
        <v>75</v>
      </c>
      <c r="H13" s="31">
        <v>4256000</v>
      </c>
      <c r="I13" s="31"/>
      <c r="J13" s="34"/>
      <c r="L13" s="106">
        <v>1.04</v>
      </c>
      <c r="M13" s="117" t="s">
        <v>104</v>
      </c>
      <c r="N13" s="108" t="s">
        <v>105</v>
      </c>
      <c r="O13" s="118" t="s">
        <v>325</v>
      </c>
      <c r="P13" s="109">
        <v>0.18</v>
      </c>
      <c r="Q13" s="109">
        <v>2365</v>
      </c>
      <c r="R13" s="109">
        <f t="shared" si="0"/>
        <v>425.7</v>
      </c>
      <c r="S13" s="109">
        <v>0.82</v>
      </c>
      <c r="T13" s="109">
        <f t="shared" si="1"/>
        <v>349.07399999999996</v>
      </c>
      <c r="U13" s="108">
        <v>471</v>
      </c>
    </row>
    <row r="14" spans="1:32" x14ac:dyDescent="0.25">
      <c r="A14" s="29"/>
      <c r="B14" s="30"/>
      <c r="C14" s="31"/>
      <c r="D14" s="31"/>
      <c r="E14" s="32" t="s">
        <v>81</v>
      </c>
      <c r="F14" s="36" t="s">
        <v>82</v>
      </c>
      <c r="G14" s="31" t="s">
        <v>75</v>
      </c>
      <c r="H14" s="31">
        <v>4349000</v>
      </c>
      <c r="I14" s="31">
        <v>0.2</v>
      </c>
      <c r="J14" s="34"/>
      <c r="L14" s="110"/>
      <c r="M14" s="111"/>
      <c r="N14" s="112"/>
      <c r="O14" s="68" t="s">
        <v>326</v>
      </c>
      <c r="P14" s="68" t="s">
        <v>327</v>
      </c>
      <c r="Q14" s="68">
        <v>7850</v>
      </c>
      <c r="R14" s="68">
        <v>11</v>
      </c>
      <c r="S14" s="68">
        <v>12.7</v>
      </c>
      <c r="T14" s="68">
        <f t="shared" si="1"/>
        <v>139.69999999999999</v>
      </c>
      <c r="U14" s="112" t="s">
        <v>331</v>
      </c>
    </row>
    <row r="15" spans="1:32" x14ac:dyDescent="0.25">
      <c r="A15" s="29"/>
      <c r="B15" s="30"/>
      <c r="C15" s="31"/>
      <c r="D15" s="31"/>
      <c r="E15" s="32" t="s">
        <v>83</v>
      </c>
      <c r="F15" s="31" t="s">
        <v>84</v>
      </c>
      <c r="G15" s="31" t="s">
        <v>75</v>
      </c>
      <c r="H15" s="31">
        <v>4470000</v>
      </c>
      <c r="I15" s="31"/>
      <c r="J15" s="34"/>
      <c r="L15" s="110"/>
      <c r="M15" s="111"/>
      <c r="N15" s="112"/>
      <c r="O15" s="119" t="s">
        <v>334</v>
      </c>
      <c r="P15" s="68" t="s">
        <v>327</v>
      </c>
      <c r="Q15" s="68">
        <v>1606</v>
      </c>
      <c r="R15" s="68">
        <f>10*14</f>
        <v>140</v>
      </c>
      <c r="S15" s="68">
        <v>0.66</v>
      </c>
      <c r="T15" s="68">
        <f t="shared" si="1"/>
        <v>92.4</v>
      </c>
      <c r="U15" s="112" t="s">
        <v>335</v>
      </c>
    </row>
    <row r="16" spans="1:32" x14ac:dyDescent="0.25">
      <c r="A16" s="29"/>
      <c r="B16" s="30"/>
      <c r="C16" s="31"/>
      <c r="D16" s="31"/>
      <c r="E16" s="32" t="s">
        <v>85</v>
      </c>
      <c r="F16" s="31" t="s">
        <v>86</v>
      </c>
      <c r="G16" s="31" t="s">
        <v>75</v>
      </c>
      <c r="H16" s="31">
        <v>4536000</v>
      </c>
      <c r="I16" s="31"/>
      <c r="J16" s="34"/>
      <c r="L16" s="110"/>
      <c r="M16" s="111"/>
      <c r="N16" s="112"/>
      <c r="O16" s="68" t="s">
        <v>152</v>
      </c>
      <c r="P16" s="68"/>
      <c r="Q16" s="68"/>
      <c r="R16" s="68"/>
      <c r="S16" s="68"/>
      <c r="T16" s="68">
        <f>T13+T14+T15</f>
        <v>581.17399999999998</v>
      </c>
      <c r="U16" s="112"/>
    </row>
    <row r="17" spans="1:21" x14ac:dyDescent="0.25">
      <c r="A17" s="29"/>
      <c r="B17" s="30"/>
      <c r="C17" s="31"/>
      <c r="D17" s="31"/>
      <c r="E17" s="32" t="s">
        <v>87</v>
      </c>
      <c r="F17" s="31" t="s">
        <v>88</v>
      </c>
      <c r="G17" s="31" t="s">
        <v>75</v>
      </c>
      <c r="H17" s="31">
        <v>4673000</v>
      </c>
      <c r="I17" s="31"/>
      <c r="J17" s="34"/>
      <c r="L17" s="106">
        <v>1.06</v>
      </c>
      <c r="M17" s="117" t="s">
        <v>115</v>
      </c>
      <c r="N17" s="108" t="s">
        <v>116</v>
      </c>
      <c r="O17" s="118" t="s">
        <v>325</v>
      </c>
      <c r="P17" s="109">
        <v>0.18</v>
      </c>
      <c r="Q17" s="109">
        <v>2365</v>
      </c>
      <c r="R17" s="109">
        <f t="shared" si="0"/>
        <v>425.7</v>
      </c>
      <c r="S17" s="109">
        <v>0.82</v>
      </c>
      <c r="T17" s="109">
        <f t="shared" si="1"/>
        <v>349.07399999999996</v>
      </c>
      <c r="U17" s="108">
        <v>536</v>
      </c>
    </row>
    <row r="18" spans="1:21" ht="19.5" thickBot="1" x14ac:dyDescent="0.3">
      <c r="A18" s="37"/>
      <c r="B18" s="38"/>
      <c r="C18" s="39"/>
      <c r="D18" s="39"/>
      <c r="E18" s="40" t="s">
        <v>89</v>
      </c>
      <c r="F18" s="41" t="s">
        <v>90</v>
      </c>
      <c r="G18" s="39" t="s">
        <v>75</v>
      </c>
      <c r="H18" s="39">
        <v>35700</v>
      </c>
      <c r="I18" s="39">
        <v>0.2</v>
      </c>
      <c r="J18" s="42"/>
      <c r="L18" s="110"/>
      <c r="M18" s="111"/>
      <c r="N18" s="112"/>
      <c r="O18" s="68" t="s">
        <v>326</v>
      </c>
      <c r="P18" s="68" t="s">
        <v>327</v>
      </c>
      <c r="Q18" s="68">
        <v>7850</v>
      </c>
      <c r="R18" s="68">
        <v>11</v>
      </c>
      <c r="S18" s="68">
        <v>12.7</v>
      </c>
      <c r="T18" s="68">
        <f t="shared" si="1"/>
        <v>139.69999999999999</v>
      </c>
      <c r="U18" s="112" t="s">
        <v>331</v>
      </c>
    </row>
    <row r="19" spans="1:21" x14ac:dyDescent="0.25">
      <c r="A19" s="29">
        <v>1.02</v>
      </c>
      <c r="B19" s="43" t="s">
        <v>91</v>
      </c>
      <c r="C19" s="25" t="s">
        <v>92</v>
      </c>
      <c r="D19" s="25" t="s">
        <v>54</v>
      </c>
      <c r="E19" s="26" t="s">
        <v>55</v>
      </c>
      <c r="F19" s="27" t="s">
        <v>56</v>
      </c>
      <c r="G19" s="25" t="s">
        <v>57</v>
      </c>
      <c r="H19" s="25">
        <v>1148000</v>
      </c>
      <c r="I19" s="25">
        <v>1</v>
      </c>
      <c r="J19" s="28">
        <f>SUMPRODUCT(H19:H33,I19:I33)-(2399-H34)*0.25*300*0.2</f>
        <v>4738265</v>
      </c>
      <c r="L19" s="110"/>
      <c r="M19" s="111"/>
      <c r="N19" s="112"/>
      <c r="O19" s="119" t="s">
        <v>336</v>
      </c>
      <c r="P19" s="68"/>
      <c r="Q19" s="68">
        <v>20</v>
      </c>
      <c r="R19" s="68">
        <v>3</v>
      </c>
      <c r="S19" s="68">
        <v>82.6</v>
      </c>
      <c r="T19" s="68">
        <f t="shared" si="1"/>
        <v>247.79999999999998</v>
      </c>
      <c r="U19" s="112" t="s">
        <v>335</v>
      </c>
    </row>
    <row r="20" spans="1:21" x14ac:dyDescent="0.25">
      <c r="A20" s="29"/>
      <c r="B20" s="30"/>
      <c r="C20" s="31"/>
      <c r="D20" s="31"/>
      <c r="E20" s="32" t="s">
        <v>58</v>
      </c>
      <c r="F20" s="31" t="s">
        <v>59</v>
      </c>
      <c r="G20" s="31" t="s">
        <v>57</v>
      </c>
      <c r="H20" s="33">
        <v>1284000</v>
      </c>
      <c r="I20" s="31"/>
      <c r="J20" s="44"/>
      <c r="L20" s="113"/>
      <c r="M20" s="114"/>
      <c r="N20" s="115"/>
      <c r="O20" s="116" t="s">
        <v>152</v>
      </c>
      <c r="P20" s="116"/>
      <c r="Q20" s="116"/>
      <c r="R20" s="116"/>
      <c r="S20" s="116"/>
      <c r="T20" s="116">
        <f>T17+T18+T19</f>
        <v>736.57399999999996</v>
      </c>
      <c r="U20" s="115"/>
    </row>
    <row r="21" spans="1:21" x14ac:dyDescent="0.25">
      <c r="A21" s="29"/>
      <c r="B21" s="30"/>
      <c r="C21" s="31"/>
      <c r="D21" s="31"/>
      <c r="E21" s="32" t="s">
        <v>60</v>
      </c>
      <c r="F21" s="31" t="s">
        <v>61</v>
      </c>
      <c r="G21" s="31" t="s">
        <v>57</v>
      </c>
      <c r="H21" s="33">
        <v>1470000</v>
      </c>
      <c r="I21" s="31"/>
      <c r="J21" s="44"/>
      <c r="L21" s="106">
        <v>1.08</v>
      </c>
      <c r="M21" s="117" t="s">
        <v>122</v>
      </c>
      <c r="N21" s="108" t="s">
        <v>9</v>
      </c>
      <c r="O21" s="118" t="s">
        <v>325</v>
      </c>
      <c r="P21" s="109">
        <v>0.17</v>
      </c>
      <c r="Q21" s="109">
        <v>2365</v>
      </c>
      <c r="R21" s="109">
        <f t="shared" si="0"/>
        <v>402.05</v>
      </c>
      <c r="S21" s="109">
        <v>0.82</v>
      </c>
      <c r="T21" s="109">
        <f t="shared" si="1"/>
        <v>329.68099999999998</v>
      </c>
      <c r="U21" s="108">
        <v>568</v>
      </c>
    </row>
    <row r="22" spans="1:21" x14ac:dyDescent="0.25">
      <c r="A22" s="29"/>
      <c r="B22" s="30"/>
      <c r="C22" s="31"/>
      <c r="D22" s="31"/>
      <c r="E22" s="32" t="s">
        <v>62</v>
      </c>
      <c r="F22" s="31" t="s">
        <v>63</v>
      </c>
      <c r="G22" s="31" t="s">
        <v>57</v>
      </c>
      <c r="H22" s="35">
        <v>1695000</v>
      </c>
      <c r="I22" s="31"/>
      <c r="J22" s="44"/>
      <c r="L22" s="110"/>
      <c r="M22" s="111"/>
      <c r="N22" s="112"/>
      <c r="O22" s="68" t="s">
        <v>326</v>
      </c>
      <c r="P22" s="68" t="s">
        <v>327</v>
      </c>
      <c r="Q22" s="68">
        <v>7850</v>
      </c>
      <c r="R22" s="68">
        <v>13.1</v>
      </c>
      <c r="S22" s="68">
        <v>12.7</v>
      </c>
      <c r="T22" s="68">
        <f t="shared" si="1"/>
        <v>166.36999999999998</v>
      </c>
      <c r="U22" s="112" t="s">
        <v>328</v>
      </c>
    </row>
    <row r="23" spans="1:21" x14ac:dyDescent="0.25">
      <c r="A23" s="29"/>
      <c r="B23" s="30"/>
      <c r="C23" s="31"/>
      <c r="D23" s="31" t="s">
        <v>64</v>
      </c>
      <c r="E23" s="32" t="s">
        <v>65</v>
      </c>
      <c r="F23" s="31" t="s">
        <v>66</v>
      </c>
      <c r="G23" s="31" t="s">
        <v>67</v>
      </c>
      <c r="H23" s="31">
        <v>156000</v>
      </c>
      <c r="I23" s="31"/>
      <c r="J23" s="45"/>
      <c r="L23" s="110"/>
      <c r="M23" s="111"/>
      <c r="N23" s="112"/>
      <c r="O23" s="68" t="s">
        <v>152</v>
      </c>
      <c r="P23" s="68"/>
      <c r="Q23" s="68"/>
      <c r="R23" s="68"/>
      <c r="S23" s="68"/>
      <c r="T23" s="68">
        <f>T21+T22</f>
        <v>496.05099999999993</v>
      </c>
      <c r="U23" s="115" t="s">
        <v>337</v>
      </c>
    </row>
    <row r="24" spans="1:21" x14ac:dyDescent="0.25">
      <c r="A24" s="29"/>
      <c r="B24" s="30"/>
      <c r="C24" s="31"/>
      <c r="D24" s="31"/>
      <c r="E24" s="32" t="s">
        <v>68</v>
      </c>
      <c r="F24" s="36" t="s">
        <v>69</v>
      </c>
      <c r="G24" s="31" t="s">
        <v>67</v>
      </c>
      <c r="H24" s="31">
        <v>136000</v>
      </c>
      <c r="I24" s="31">
        <v>20</v>
      </c>
      <c r="J24" s="45"/>
      <c r="L24" s="106">
        <v>1.1100000000000001</v>
      </c>
      <c r="M24" s="117" t="s">
        <v>131</v>
      </c>
      <c r="N24" s="108" t="s">
        <v>132</v>
      </c>
      <c r="O24" s="118" t="s">
        <v>325</v>
      </c>
      <c r="P24" s="109">
        <v>0.11</v>
      </c>
      <c r="Q24" s="109">
        <v>2365</v>
      </c>
      <c r="R24" s="109">
        <f t="shared" si="0"/>
        <v>260.14999999999998</v>
      </c>
      <c r="S24" s="109">
        <v>0.82</v>
      </c>
      <c r="T24" s="109">
        <f t="shared" si="1"/>
        <v>213.32299999999998</v>
      </c>
      <c r="U24" s="108">
        <v>407</v>
      </c>
    </row>
    <row r="25" spans="1:21" x14ac:dyDescent="0.25">
      <c r="A25" s="29"/>
      <c r="B25" s="30"/>
      <c r="C25" s="31"/>
      <c r="D25" s="31"/>
      <c r="E25" s="32" t="s">
        <v>70</v>
      </c>
      <c r="F25" s="31" t="s">
        <v>71</v>
      </c>
      <c r="G25" s="31" t="s">
        <v>67</v>
      </c>
      <c r="H25" s="31">
        <v>132000</v>
      </c>
      <c r="I25" s="31"/>
      <c r="J25" s="45"/>
      <c r="L25" s="110"/>
      <c r="M25" s="111"/>
      <c r="N25" s="112"/>
      <c r="O25" s="69" t="s">
        <v>326</v>
      </c>
      <c r="P25" s="68" t="s">
        <v>327</v>
      </c>
      <c r="Q25" s="68">
        <v>7850</v>
      </c>
      <c r="R25" s="68">
        <v>10</v>
      </c>
      <c r="S25" s="68">
        <v>12.7</v>
      </c>
      <c r="T25" s="68">
        <f t="shared" si="1"/>
        <v>127</v>
      </c>
      <c r="U25" s="120" t="s">
        <v>338</v>
      </c>
    </row>
    <row r="26" spans="1:21" x14ac:dyDescent="0.25">
      <c r="A26" s="29"/>
      <c r="B26" s="30"/>
      <c r="C26" s="31"/>
      <c r="D26" s="31" t="s">
        <v>72</v>
      </c>
      <c r="E26" s="32" t="s">
        <v>73</v>
      </c>
      <c r="F26" s="35" t="s">
        <v>74</v>
      </c>
      <c r="G26" s="31" t="s">
        <v>75</v>
      </c>
      <c r="H26" s="31">
        <v>3949000</v>
      </c>
      <c r="I26" s="31"/>
      <c r="J26" s="45"/>
      <c r="L26" s="110"/>
      <c r="M26" s="111"/>
      <c r="N26" s="112"/>
      <c r="O26" s="68" t="s">
        <v>339</v>
      </c>
      <c r="P26" s="68">
        <v>1.25E-3</v>
      </c>
      <c r="Q26" s="68">
        <v>7850</v>
      </c>
      <c r="R26" s="68">
        <v>10</v>
      </c>
      <c r="S26" s="68">
        <v>19.2</v>
      </c>
      <c r="T26" s="68">
        <f t="shared" si="1"/>
        <v>192</v>
      </c>
      <c r="U26" s="112" t="s">
        <v>340</v>
      </c>
    </row>
    <row r="27" spans="1:21" x14ac:dyDescent="0.25">
      <c r="A27" s="29"/>
      <c r="B27" s="30"/>
      <c r="C27" s="31"/>
      <c r="D27" s="31"/>
      <c r="E27" s="32" t="s">
        <v>76</v>
      </c>
      <c r="F27" s="35" t="s">
        <v>77</v>
      </c>
      <c r="G27" s="31" t="s">
        <v>75</v>
      </c>
      <c r="H27" s="31">
        <v>4164000</v>
      </c>
      <c r="I27" s="31"/>
      <c r="J27" s="45"/>
      <c r="L27" s="113"/>
      <c r="M27" s="114"/>
      <c r="N27" s="115"/>
      <c r="O27" s="121" t="s">
        <v>152</v>
      </c>
      <c r="P27" s="121"/>
      <c r="Q27" s="121"/>
      <c r="R27" s="121"/>
      <c r="S27" s="121"/>
      <c r="T27" s="116">
        <f>T24+T25+T26</f>
        <v>532.32299999999998</v>
      </c>
      <c r="U27" s="122"/>
    </row>
    <row r="28" spans="1:21" x14ac:dyDescent="0.25">
      <c r="A28" s="29"/>
      <c r="B28" s="30"/>
      <c r="C28" s="31"/>
      <c r="D28" s="30"/>
      <c r="E28" s="32" t="s">
        <v>79</v>
      </c>
      <c r="F28" s="31" t="s">
        <v>80</v>
      </c>
      <c r="G28" s="31" t="s">
        <v>75</v>
      </c>
      <c r="H28" s="31">
        <v>4256000</v>
      </c>
      <c r="I28" s="31"/>
      <c r="J28" s="45"/>
    </row>
    <row r="29" spans="1:21" x14ac:dyDescent="0.25">
      <c r="A29" s="29"/>
      <c r="B29" s="30"/>
      <c r="C29" s="31"/>
      <c r="D29" s="31"/>
      <c r="E29" s="32" t="s">
        <v>81</v>
      </c>
      <c r="F29" s="36" t="s">
        <v>82</v>
      </c>
      <c r="G29" s="31" t="s">
        <v>75</v>
      </c>
      <c r="H29" s="31">
        <v>4349000</v>
      </c>
      <c r="I29" s="31">
        <v>0.2</v>
      </c>
      <c r="J29" s="45"/>
    </row>
    <row r="30" spans="1:21" x14ac:dyDescent="0.25">
      <c r="A30" s="29"/>
      <c r="B30" s="30"/>
      <c r="C30" s="31"/>
      <c r="D30" s="31"/>
      <c r="E30" s="32" t="s">
        <v>83</v>
      </c>
      <c r="F30" s="31" t="s">
        <v>84</v>
      </c>
      <c r="G30" s="31" t="s">
        <v>75</v>
      </c>
      <c r="H30" s="31">
        <v>4470000</v>
      </c>
      <c r="I30" s="31"/>
      <c r="J30" s="45"/>
    </row>
    <row r="31" spans="1:21" x14ac:dyDescent="0.25">
      <c r="A31" s="29"/>
      <c r="B31" s="30"/>
      <c r="C31" s="31"/>
      <c r="D31" s="31"/>
      <c r="E31" s="32" t="s">
        <v>85</v>
      </c>
      <c r="F31" s="31" t="s">
        <v>86</v>
      </c>
      <c r="G31" s="31" t="s">
        <v>75</v>
      </c>
      <c r="H31" s="31">
        <v>4536000</v>
      </c>
      <c r="I31" s="31"/>
      <c r="J31" s="45"/>
    </row>
    <row r="32" spans="1:21" x14ac:dyDescent="0.25">
      <c r="A32" s="29"/>
      <c r="B32" s="30"/>
      <c r="C32" s="31"/>
      <c r="D32" s="31"/>
      <c r="E32" s="32" t="s">
        <v>87</v>
      </c>
      <c r="F32" s="31" t="s">
        <v>88</v>
      </c>
      <c r="G32" s="31" t="s">
        <v>75</v>
      </c>
      <c r="H32" s="31">
        <v>4673000</v>
      </c>
      <c r="I32" s="31"/>
      <c r="J32" s="45"/>
    </row>
    <row r="33" spans="1:12" x14ac:dyDescent="0.25">
      <c r="A33" s="29"/>
      <c r="B33" s="30"/>
      <c r="C33" s="31"/>
      <c r="D33" s="31"/>
      <c r="E33" s="32" t="s">
        <v>89</v>
      </c>
      <c r="F33" s="36" t="s">
        <v>90</v>
      </c>
      <c r="G33" s="31" t="s">
        <v>75</v>
      </c>
      <c r="H33" s="31">
        <v>35700</v>
      </c>
      <c r="I33" s="31">
        <v>0.2</v>
      </c>
      <c r="J33" s="45"/>
      <c r="K33" s="135" t="s">
        <v>93</v>
      </c>
      <c r="L33" s="20" t="s">
        <v>94</v>
      </c>
    </row>
    <row r="34" spans="1:12" ht="19.5" thickBot="1" x14ac:dyDescent="0.3">
      <c r="A34" s="37"/>
      <c r="B34" s="38"/>
      <c r="C34" s="39"/>
      <c r="D34" s="46" t="s">
        <v>95</v>
      </c>
      <c r="E34" s="47" t="s">
        <v>96</v>
      </c>
      <c r="F34" s="46" t="s">
        <v>97</v>
      </c>
      <c r="G34" s="46" t="s">
        <v>67</v>
      </c>
      <c r="H34" s="46">
        <v>1954</v>
      </c>
      <c r="I34" s="46"/>
      <c r="J34" s="48"/>
      <c r="K34" s="135" t="s">
        <v>98</v>
      </c>
      <c r="L34" s="20" t="s">
        <v>99</v>
      </c>
    </row>
    <row r="35" spans="1:12" x14ac:dyDescent="0.25">
      <c r="A35" s="23">
        <v>1.03</v>
      </c>
      <c r="B35" s="49" t="s">
        <v>100</v>
      </c>
      <c r="C35" s="25" t="s">
        <v>101</v>
      </c>
      <c r="D35" s="25" t="s">
        <v>54</v>
      </c>
      <c r="E35" s="26" t="s">
        <v>55</v>
      </c>
      <c r="F35" s="27" t="s">
        <v>56</v>
      </c>
      <c r="G35" s="25" t="s">
        <v>57</v>
      </c>
      <c r="H35" s="25">
        <v>1148000</v>
      </c>
      <c r="I35" s="25">
        <v>1</v>
      </c>
      <c r="J35" s="28">
        <f>SUMPRODUCT(H35:H49,I35:I49)-(2399-H50)*0.3*300*0.2</f>
        <v>4740620</v>
      </c>
    </row>
    <row r="36" spans="1:12" x14ac:dyDescent="0.25">
      <c r="A36" s="29"/>
      <c r="B36" s="30"/>
      <c r="C36" s="31"/>
      <c r="D36" s="31"/>
      <c r="E36" s="32" t="s">
        <v>58</v>
      </c>
      <c r="F36" s="31" t="s">
        <v>59</v>
      </c>
      <c r="G36" s="31" t="s">
        <v>57</v>
      </c>
      <c r="H36" s="33">
        <v>1284000</v>
      </c>
      <c r="I36" s="31"/>
      <c r="J36" s="44"/>
    </row>
    <row r="37" spans="1:12" x14ac:dyDescent="0.25">
      <c r="A37" s="29"/>
      <c r="B37" s="30"/>
      <c r="C37" s="31"/>
      <c r="D37" s="31"/>
      <c r="E37" s="32" t="s">
        <v>60</v>
      </c>
      <c r="F37" s="31" t="s">
        <v>61</v>
      </c>
      <c r="G37" s="31" t="s">
        <v>57</v>
      </c>
      <c r="H37" s="33">
        <v>1470000</v>
      </c>
      <c r="I37" s="31"/>
      <c r="J37" s="44"/>
    </row>
    <row r="38" spans="1:12" x14ac:dyDescent="0.25">
      <c r="A38" s="29"/>
      <c r="B38" s="30"/>
      <c r="C38" s="31"/>
      <c r="D38" s="31"/>
      <c r="E38" s="32" t="s">
        <v>62</v>
      </c>
      <c r="F38" s="31" t="s">
        <v>63</v>
      </c>
      <c r="G38" s="31" t="s">
        <v>57</v>
      </c>
      <c r="H38" s="35">
        <v>1695000</v>
      </c>
      <c r="I38" s="31"/>
      <c r="J38" s="44"/>
    </row>
    <row r="39" spans="1:12" x14ac:dyDescent="0.25">
      <c r="A39" s="29"/>
      <c r="B39" s="30"/>
      <c r="C39" s="31"/>
      <c r="D39" s="31" t="s">
        <v>64</v>
      </c>
      <c r="E39" s="32" t="s">
        <v>65</v>
      </c>
      <c r="F39" s="31" t="s">
        <v>66</v>
      </c>
      <c r="G39" s="31" t="s">
        <v>67</v>
      </c>
      <c r="H39" s="31">
        <v>156000</v>
      </c>
      <c r="I39" s="31"/>
      <c r="J39" s="45"/>
    </row>
    <row r="40" spans="1:12" x14ac:dyDescent="0.25">
      <c r="A40" s="29"/>
      <c r="B40" s="30"/>
      <c r="C40" s="31"/>
      <c r="D40" s="31"/>
      <c r="E40" s="32" t="s">
        <v>68</v>
      </c>
      <c r="F40" s="36" t="s">
        <v>69</v>
      </c>
      <c r="G40" s="31" t="s">
        <v>67</v>
      </c>
      <c r="H40" s="31">
        <v>136000</v>
      </c>
      <c r="I40" s="31">
        <v>20</v>
      </c>
      <c r="J40" s="45"/>
    </row>
    <row r="41" spans="1:12" x14ac:dyDescent="0.25">
      <c r="A41" s="29"/>
      <c r="B41" s="30"/>
      <c r="C41" s="31"/>
      <c r="D41" s="31"/>
      <c r="E41" s="32" t="s">
        <v>70</v>
      </c>
      <c r="F41" s="31" t="s">
        <v>71</v>
      </c>
      <c r="G41" s="31" t="s">
        <v>67</v>
      </c>
      <c r="H41" s="31">
        <v>132000</v>
      </c>
      <c r="I41" s="31"/>
      <c r="J41" s="45"/>
    </row>
    <row r="42" spans="1:12" x14ac:dyDescent="0.25">
      <c r="A42" s="29"/>
      <c r="B42" s="30"/>
      <c r="C42" s="31"/>
      <c r="D42" s="31" t="s">
        <v>72</v>
      </c>
      <c r="E42" s="32" t="s">
        <v>73</v>
      </c>
      <c r="F42" s="35" t="s">
        <v>74</v>
      </c>
      <c r="G42" s="31" t="s">
        <v>75</v>
      </c>
      <c r="H42" s="31">
        <v>3949000</v>
      </c>
      <c r="I42" s="31"/>
      <c r="J42" s="45"/>
    </row>
    <row r="43" spans="1:12" x14ac:dyDescent="0.25">
      <c r="A43" s="29"/>
      <c r="B43" s="30"/>
      <c r="C43" s="31"/>
      <c r="D43" s="31"/>
      <c r="E43" s="32" t="s">
        <v>76</v>
      </c>
      <c r="F43" s="35" t="s">
        <v>77</v>
      </c>
      <c r="G43" s="31" t="s">
        <v>75</v>
      </c>
      <c r="H43" s="31">
        <v>4164000</v>
      </c>
      <c r="I43" s="31"/>
      <c r="J43" s="45"/>
    </row>
    <row r="44" spans="1:12" x14ac:dyDescent="0.25">
      <c r="A44" s="29"/>
      <c r="B44" s="30"/>
      <c r="C44" s="31"/>
      <c r="D44" s="30"/>
      <c r="E44" s="32" t="s">
        <v>79</v>
      </c>
      <c r="F44" s="31" t="s">
        <v>80</v>
      </c>
      <c r="G44" s="31" t="s">
        <v>75</v>
      </c>
      <c r="H44" s="31">
        <v>4256000</v>
      </c>
      <c r="I44" s="31"/>
      <c r="J44" s="45"/>
    </row>
    <row r="45" spans="1:12" x14ac:dyDescent="0.25">
      <c r="A45" s="29"/>
      <c r="B45" s="30"/>
      <c r="C45" s="31"/>
      <c r="D45" s="31"/>
      <c r="E45" s="32" t="s">
        <v>81</v>
      </c>
      <c r="F45" s="36" t="s">
        <v>82</v>
      </c>
      <c r="G45" s="31" t="s">
        <v>75</v>
      </c>
      <c r="H45" s="31">
        <v>4349000</v>
      </c>
      <c r="I45" s="31">
        <v>0.2</v>
      </c>
      <c r="J45" s="45"/>
    </row>
    <row r="46" spans="1:12" x14ac:dyDescent="0.25">
      <c r="A46" s="29"/>
      <c r="B46" s="30"/>
      <c r="C46" s="31"/>
      <c r="D46" s="31"/>
      <c r="E46" s="32" t="s">
        <v>83</v>
      </c>
      <c r="F46" s="31" t="s">
        <v>84</v>
      </c>
      <c r="G46" s="31" t="s">
        <v>75</v>
      </c>
      <c r="H46" s="31">
        <v>4470000</v>
      </c>
      <c r="I46" s="31"/>
      <c r="J46" s="45"/>
    </row>
    <row r="47" spans="1:12" x14ac:dyDescent="0.25">
      <c r="A47" s="29"/>
      <c r="B47" s="30"/>
      <c r="C47" s="31"/>
      <c r="D47" s="31"/>
      <c r="E47" s="32" t="s">
        <v>85</v>
      </c>
      <c r="F47" s="31" t="s">
        <v>86</v>
      </c>
      <c r="G47" s="31" t="s">
        <v>75</v>
      </c>
      <c r="H47" s="31">
        <v>4536000</v>
      </c>
      <c r="I47" s="31"/>
      <c r="J47" s="45"/>
    </row>
    <row r="48" spans="1:12" x14ac:dyDescent="0.25">
      <c r="A48" s="29"/>
      <c r="B48" s="30"/>
      <c r="C48" s="31"/>
      <c r="D48" s="31"/>
      <c r="E48" s="32" t="s">
        <v>87</v>
      </c>
      <c r="F48" s="31" t="s">
        <v>88</v>
      </c>
      <c r="G48" s="31" t="s">
        <v>75</v>
      </c>
      <c r="H48" s="31">
        <v>4673000</v>
      </c>
      <c r="I48" s="31"/>
      <c r="J48" s="45"/>
    </row>
    <row r="49" spans="1:10" x14ac:dyDescent="0.25">
      <c r="A49" s="29"/>
      <c r="B49" s="30"/>
      <c r="C49" s="31"/>
      <c r="D49" s="31"/>
      <c r="E49" s="32" t="s">
        <v>89</v>
      </c>
      <c r="F49" s="36" t="s">
        <v>90</v>
      </c>
      <c r="G49" s="31" t="s">
        <v>75</v>
      </c>
      <c r="H49" s="31">
        <v>35700</v>
      </c>
      <c r="I49" s="31">
        <v>0.2</v>
      </c>
      <c r="J49" s="45"/>
    </row>
    <row r="50" spans="1:10" ht="19.5" thickBot="1" x14ac:dyDescent="0.3">
      <c r="A50" s="37"/>
      <c r="B50" s="38"/>
      <c r="C50" s="39"/>
      <c r="D50" s="46" t="s">
        <v>95</v>
      </c>
      <c r="E50" s="47" t="s">
        <v>102</v>
      </c>
      <c r="F50" s="46" t="s">
        <v>103</v>
      </c>
      <c r="G50" s="46" t="s">
        <v>67</v>
      </c>
      <c r="H50" s="46">
        <v>2159</v>
      </c>
      <c r="I50" s="50"/>
      <c r="J50" s="51"/>
    </row>
    <row r="51" spans="1:10" x14ac:dyDescent="0.25">
      <c r="A51" s="23">
        <v>1.04</v>
      </c>
      <c r="B51" s="24" t="s">
        <v>104</v>
      </c>
      <c r="C51" s="25" t="s">
        <v>105</v>
      </c>
      <c r="D51" s="25" t="s">
        <v>106</v>
      </c>
      <c r="E51" s="26" t="s">
        <v>107</v>
      </c>
      <c r="F51" s="25" t="s">
        <v>108</v>
      </c>
      <c r="G51" s="25" t="s">
        <v>57</v>
      </c>
      <c r="H51" s="25">
        <v>1649000</v>
      </c>
      <c r="I51" s="52"/>
      <c r="J51" s="28">
        <f>SUMPRODUCT(H51:H57,I51:I57)</f>
        <v>3220000</v>
      </c>
    </row>
    <row r="52" spans="1:10" x14ac:dyDescent="0.25">
      <c r="A52" s="29"/>
      <c r="B52" s="30"/>
      <c r="C52" s="31"/>
      <c r="D52" s="31"/>
      <c r="E52" s="32" t="s">
        <v>109</v>
      </c>
      <c r="F52" s="36" t="s">
        <v>110</v>
      </c>
      <c r="G52" s="31" t="s">
        <v>57</v>
      </c>
      <c r="H52" s="31">
        <v>1724000</v>
      </c>
      <c r="I52" s="53">
        <v>1</v>
      </c>
      <c r="J52" s="54"/>
    </row>
    <row r="53" spans="1:10" x14ac:dyDescent="0.25">
      <c r="A53" s="29"/>
      <c r="B53" s="30"/>
      <c r="C53" s="31"/>
      <c r="D53" s="31"/>
      <c r="E53" s="32" t="s">
        <v>111</v>
      </c>
      <c r="F53" s="31" t="s">
        <v>112</v>
      </c>
      <c r="G53" s="31" t="s">
        <v>57</v>
      </c>
      <c r="H53" s="31">
        <v>1791000</v>
      </c>
      <c r="I53" s="53"/>
      <c r="J53" s="54"/>
    </row>
    <row r="54" spans="1:10" x14ac:dyDescent="0.25">
      <c r="A54" s="29"/>
      <c r="B54" s="30"/>
      <c r="C54" s="31"/>
      <c r="D54" s="31"/>
      <c r="E54" s="32" t="s">
        <v>113</v>
      </c>
      <c r="F54" s="31" t="s">
        <v>114</v>
      </c>
      <c r="G54" s="31" t="s">
        <v>57</v>
      </c>
      <c r="H54" s="31">
        <v>1911000</v>
      </c>
      <c r="I54" s="53"/>
      <c r="J54" s="54"/>
    </row>
    <row r="55" spans="1:10" x14ac:dyDescent="0.25">
      <c r="A55" s="29"/>
      <c r="B55" s="30"/>
      <c r="C55" s="31"/>
      <c r="D55" s="31" t="s">
        <v>64</v>
      </c>
      <c r="E55" s="32" t="s">
        <v>65</v>
      </c>
      <c r="F55" s="31" t="s">
        <v>66</v>
      </c>
      <c r="G55" s="31" t="s">
        <v>67</v>
      </c>
      <c r="H55" s="31">
        <v>156000</v>
      </c>
      <c r="I55" s="31"/>
      <c r="J55" s="45"/>
    </row>
    <row r="56" spans="1:10" x14ac:dyDescent="0.25">
      <c r="A56" s="29"/>
      <c r="B56" s="30"/>
      <c r="C56" s="31"/>
      <c r="D56" s="31"/>
      <c r="E56" s="32" t="s">
        <v>68</v>
      </c>
      <c r="F56" s="36" t="s">
        <v>69</v>
      </c>
      <c r="G56" s="31" t="s">
        <v>67</v>
      </c>
      <c r="H56" s="31">
        <v>136000</v>
      </c>
      <c r="I56" s="31">
        <v>11</v>
      </c>
      <c r="J56" s="45"/>
    </row>
    <row r="57" spans="1:10" ht="19.5" thickBot="1" x14ac:dyDescent="0.3">
      <c r="A57" s="37"/>
      <c r="B57" s="38"/>
      <c r="C57" s="39"/>
      <c r="D57" s="39"/>
      <c r="E57" s="40" t="s">
        <v>70</v>
      </c>
      <c r="F57" s="39" t="s">
        <v>71</v>
      </c>
      <c r="G57" s="39" t="s">
        <v>67</v>
      </c>
      <c r="H57" s="39">
        <v>132000</v>
      </c>
      <c r="I57" s="39"/>
      <c r="J57" s="55"/>
    </row>
    <row r="58" spans="1:10" x14ac:dyDescent="0.25">
      <c r="A58" s="23">
        <v>1.06</v>
      </c>
      <c r="B58" s="24" t="s">
        <v>115</v>
      </c>
      <c r="C58" s="25" t="s">
        <v>116</v>
      </c>
      <c r="D58" s="25" t="s">
        <v>117</v>
      </c>
      <c r="E58" s="26" t="s">
        <v>118</v>
      </c>
      <c r="F58" s="27" t="s">
        <v>119</v>
      </c>
      <c r="G58" s="25" t="s">
        <v>57</v>
      </c>
      <c r="H58" s="25">
        <v>2458000</v>
      </c>
      <c r="I58" s="52">
        <v>1</v>
      </c>
      <c r="J58" s="28">
        <f>SUMPRODUCT(H58:H62,I58:I62)</f>
        <v>3954000</v>
      </c>
    </row>
    <row r="59" spans="1:10" x14ac:dyDescent="0.25">
      <c r="A59" s="29"/>
      <c r="B59" s="30"/>
      <c r="C59" s="31"/>
      <c r="D59" s="31"/>
      <c r="E59" s="32" t="s">
        <v>120</v>
      </c>
      <c r="F59" s="31" t="s">
        <v>121</v>
      </c>
      <c r="G59" s="31" t="s">
        <v>57</v>
      </c>
      <c r="H59" s="31">
        <v>2728000</v>
      </c>
      <c r="I59" s="53"/>
      <c r="J59" s="54"/>
    </row>
    <row r="60" spans="1:10" x14ac:dyDescent="0.25">
      <c r="A60" s="29"/>
      <c r="B60" s="30"/>
      <c r="C60" s="31"/>
      <c r="D60" s="31" t="s">
        <v>64</v>
      </c>
      <c r="E60" s="32" t="s">
        <v>65</v>
      </c>
      <c r="F60" s="31" t="s">
        <v>66</v>
      </c>
      <c r="G60" s="31" t="s">
        <v>67</v>
      </c>
      <c r="H60" s="31">
        <v>156000</v>
      </c>
      <c r="I60" s="31"/>
      <c r="J60" s="45"/>
    </row>
    <row r="61" spans="1:10" x14ac:dyDescent="0.25">
      <c r="A61" s="29"/>
      <c r="B61" s="30"/>
      <c r="C61" s="31"/>
      <c r="D61" s="31"/>
      <c r="E61" s="32" t="s">
        <v>68</v>
      </c>
      <c r="F61" s="36" t="s">
        <v>69</v>
      </c>
      <c r="G61" s="31" t="s">
        <v>67</v>
      </c>
      <c r="H61" s="31">
        <v>136000</v>
      </c>
      <c r="I61" s="31">
        <v>11</v>
      </c>
      <c r="J61" s="45"/>
    </row>
    <row r="62" spans="1:10" ht="19.5" thickBot="1" x14ac:dyDescent="0.3">
      <c r="A62" s="37"/>
      <c r="B62" s="38"/>
      <c r="C62" s="39"/>
      <c r="D62" s="39"/>
      <c r="E62" s="40" t="s">
        <v>70</v>
      </c>
      <c r="F62" s="39" t="s">
        <v>71</v>
      </c>
      <c r="G62" s="39" t="s">
        <v>67</v>
      </c>
      <c r="H62" s="39">
        <v>132000</v>
      </c>
      <c r="I62" s="39"/>
      <c r="J62" s="55"/>
    </row>
    <row r="63" spans="1:10" x14ac:dyDescent="0.25">
      <c r="A63" s="29">
        <v>1.08</v>
      </c>
      <c r="B63" s="30" t="s">
        <v>122</v>
      </c>
      <c r="C63" s="18" t="s">
        <v>9</v>
      </c>
      <c r="D63" s="31" t="s">
        <v>123</v>
      </c>
      <c r="E63" s="32" t="s">
        <v>124</v>
      </c>
      <c r="F63" s="31" t="s">
        <v>125</v>
      </c>
      <c r="G63" s="31" t="s">
        <v>57</v>
      </c>
      <c r="H63" s="31">
        <v>719500</v>
      </c>
      <c r="I63" s="31"/>
      <c r="J63" s="28">
        <f>SUMPRODUCT(H63:H80,I63:I80)</f>
        <v>4895745</v>
      </c>
    </row>
    <row r="64" spans="1:10" x14ac:dyDescent="0.25">
      <c r="A64" s="29"/>
      <c r="B64" s="30"/>
      <c r="C64" s="18"/>
      <c r="D64" s="31"/>
      <c r="E64" s="32" t="s">
        <v>126</v>
      </c>
      <c r="F64" s="36" t="s">
        <v>127</v>
      </c>
      <c r="G64" s="31" t="s">
        <v>57</v>
      </c>
      <c r="H64" s="31">
        <v>718500</v>
      </c>
      <c r="I64" s="31">
        <v>1</v>
      </c>
      <c r="J64" s="44"/>
    </row>
    <row r="65" spans="1:10" x14ac:dyDescent="0.25">
      <c r="A65" s="29"/>
      <c r="B65" s="30"/>
      <c r="C65" s="18"/>
      <c r="D65" s="31"/>
      <c r="E65" s="32" t="s">
        <v>128</v>
      </c>
      <c r="F65" s="31" t="s">
        <v>129</v>
      </c>
      <c r="G65" s="31" t="s">
        <v>57</v>
      </c>
      <c r="H65" s="31">
        <v>781500</v>
      </c>
      <c r="I65" s="31"/>
      <c r="J65" s="44"/>
    </row>
    <row r="66" spans="1:10" x14ac:dyDescent="0.25">
      <c r="A66" s="29"/>
      <c r="B66" s="30"/>
      <c r="C66" s="18"/>
      <c r="D66" s="31" t="s">
        <v>130</v>
      </c>
      <c r="E66" s="32" t="s">
        <v>55</v>
      </c>
      <c r="F66" s="36" t="s">
        <v>56</v>
      </c>
      <c r="G66" s="31" t="s">
        <v>57</v>
      </c>
      <c r="H66" s="31">
        <v>1148000</v>
      </c>
      <c r="I66" s="31">
        <f>0.75</f>
        <v>0.75</v>
      </c>
      <c r="J66" s="44"/>
    </row>
    <row r="67" spans="1:10" x14ac:dyDescent="0.25">
      <c r="A67" s="29"/>
      <c r="B67" s="30"/>
      <c r="C67" s="18"/>
      <c r="D67" s="31"/>
      <c r="E67" s="32" t="s">
        <v>58</v>
      </c>
      <c r="F67" s="31" t="s">
        <v>59</v>
      </c>
      <c r="G67" s="31" t="s">
        <v>57</v>
      </c>
      <c r="H67" s="33">
        <v>1284000</v>
      </c>
      <c r="I67" s="31"/>
      <c r="J67" s="44"/>
    </row>
    <row r="68" spans="1:10" x14ac:dyDescent="0.25">
      <c r="A68" s="29"/>
      <c r="B68" s="30"/>
      <c r="C68" s="18"/>
      <c r="D68" s="31"/>
      <c r="E68" s="32" t="s">
        <v>60</v>
      </c>
      <c r="F68" s="31" t="s">
        <v>61</v>
      </c>
      <c r="G68" s="31" t="s">
        <v>57</v>
      </c>
      <c r="H68" s="33">
        <v>1470000</v>
      </c>
      <c r="I68" s="31"/>
      <c r="J68" s="44"/>
    </row>
    <row r="69" spans="1:10" x14ac:dyDescent="0.25">
      <c r="A69" s="29"/>
      <c r="B69" s="30"/>
      <c r="C69" s="18"/>
      <c r="D69" s="31"/>
      <c r="E69" s="32" t="s">
        <v>62</v>
      </c>
      <c r="F69" s="31" t="s">
        <v>63</v>
      </c>
      <c r="G69" s="31" t="s">
        <v>57</v>
      </c>
      <c r="H69" s="35">
        <v>1695000</v>
      </c>
      <c r="I69" s="31"/>
      <c r="J69" s="44"/>
    </row>
    <row r="70" spans="1:10" x14ac:dyDescent="0.25">
      <c r="A70" s="29"/>
      <c r="B70" s="30"/>
      <c r="C70" s="18"/>
      <c r="D70" s="31" t="s">
        <v>64</v>
      </c>
      <c r="E70" s="32" t="s">
        <v>65</v>
      </c>
      <c r="F70" s="31" t="s">
        <v>66</v>
      </c>
      <c r="G70" s="31" t="s">
        <v>67</v>
      </c>
      <c r="H70" s="31">
        <v>156000</v>
      </c>
      <c r="I70" s="31"/>
      <c r="J70" s="45"/>
    </row>
    <row r="71" spans="1:10" x14ac:dyDescent="0.25">
      <c r="A71" s="29"/>
      <c r="B71" s="21"/>
      <c r="C71" s="18"/>
      <c r="D71" s="31"/>
      <c r="E71" s="32" t="s">
        <v>68</v>
      </c>
      <c r="F71" s="36" t="s">
        <v>69</v>
      </c>
      <c r="G71" s="31" t="s">
        <v>67</v>
      </c>
      <c r="H71" s="31">
        <v>136000</v>
      </c>
      <c r="I71" s="31">
        <v>13.1</v>
      </c>
      <c r="J71" s="45"/>
    </row>
    <row r="72" spans="1:10" x14ac:dyDescent="0.25">
      <c r="A72" s="29"/>
      <c r="B72" s="21"/>
      <c r="C72" s="18"/>
      <c r="D72" s="31"/>
      <c r="E72" s="32" t="s">
        <v>70</v>
      </c>
      <c r="F72" s="31" t="s">
        <v>71</v>
      </c>
      <c r="G72" s="31" t="s">
        <v>67</v>
      </c>
      <c r="H72" s="31">
        <v>132000</v>
      </c>
      <c r="I72" s="31"/>
      <c r="J72" s="45"/>
    </row>
    <row r="73" spans="1:10" x14ac:dyDescent="0.25">
      <c r="A73" s="29"/>
      <c r="B73" s="21"/>
      <c r="C73" s="18"/>
      <c r="D73" s="31" t="s">
        <v>72</v>
      </c>
      <c r="E73" s="32" t="s">
        <v>73</v>
      </c>
      <c r="F73" s="35" t="s">
        <v>74</v>
      </c>
      <c r="G73" s="31" t="s">
        <v>75</v>
      </c>
      <c r="H73" s="31">
        <v>3949000</v>
      </c>
      <c r="I73" s="31"/>
      <c r="J73" s="45"/>
    </row>
    <row r="74" spans="1:10" x14ac:dyDescent="0.25">
      <c r="A74" s="29"/>
      <c r="B74" s="21"/>
      <c r="C74" s="18"/>
      <c r="D74" s="31"/>
      <c r="E74" s="32" t="s">
        <v>76</v>
      </c>
      <c r="F74" s="35" t="s">
        <v>77</v>
      </c>
      <c r="G74" s="31" t="s">
        <v>75</v>
      </c>
      <c r="H74" s="31">
        <v>4164000</v>
      </c>
      <c r="I74" s="31"/>
      <c r="J74" s="45"/>
    </row>
    <row r="75" spans="1:10" x14ac:dyDescent="0.25">
      <c r="A75" s="29"/>
      <c r="B75" s="21"/>
      <c r="C75" s="18"/>
      <c r="D75" s="30"/>
      <c r="E75" s="32" t="s">
        <v>79</v>
      </c>
      <c r="F75" s="31" t="s">
        <v>80</v>
      </c>
      <c r="G75" s="31" t="s">
        <v>75</v>
      </c>
      <c r="H75" s="31">
        <v>4256000</v>
      </c>
      <c r="I75" s="31"/>
      <c r="J75" s="45"/>
    </row>
    <row r="76" spans="1:10" x14ac:dyDescent="0.25">
      <c r="A76" s="29"/>
      <c r="B76" s="21"/>
      <c r="C76" s="18"/>
      <c r="D76" s="31"/>
      <c r="E76" s="32" t="s">
        <v>81</v>
      </c>
      <c r="F76" s="36" t="s">
        <v>82</v>
      </c>
      <c r="G76" s="31" t="s">
        <v>75</v>
      </c>
      <c r="H76" s="31">
        <v>4349000</v>
      </c>
      <c r="I76" s="31">
        <v>0.35</v>
      </c>
      <c r="J76" s="45"/>
    </row>
    <row r="77" spans="1:10" x14ac:dyDescent="0.25">
      <c r="A77" s="29"/>
      <c r="B77" s="21"/>
      <c r="C77" s="18"/>
      <c r="D77" s="31"/>
      <c r="E77" s="32" t="s">
        <v>83</v>
      </c>
      <c r="F77" s="31" t="s">
        <v>84</v>
      </c>
      <c r="G77" s="31" t="s">
        <v>75</v>
      </c>
      <c r="H77" s="31">
        <v>4470000</v>
      </c>
      <c r="I77" s="31"/>
      <c r="J77" s="45"/>
    </row>
    <row r="78" spans="1:10" x14ac:dyDescent="0.25">
      <c r="A78" s="29"/>
      <c r="B78" s="21"/>
      <c r="C78" s="18"/>
      <c r="D78" s="31"/>
      <c r="E78" s="32" t="s">
        <v>85</v>
      </c>
      <c r="F78" s="31" t="s">
        <v>86</v>
      </c>
      <c r="G78" s="31" t="s">
        <v>75</v>
      </c>
      <c r="H78" s="31">
        <v>4536000</v>
      </c>
      <c r="I78" s="31"/>
      <c r="J78" s="45"/>
    </row>
    <row r="79" spans="1:10" x14ac:dyDescent="0.25">
      <c r="A79" s="29"/>
      <c r="B79" s="21"/>
      <c r="C79" s="18"/>
      <c r="D79" s="31"/>
      <c r="E79" s="32" t="s">
        <v>87</v>
      </c>
      <c r="F79" s="31" t="s">
        <v>88</v>
      </c>
      <c r="G79" s="31" t="s">
        <v>75</v>
      </c>
      <c r="H79" s="31">
        <v>4673000</v>
      </c>
      <c r="I79" s="31"/>
      <c r="J79" s="45"/>
    </row>
    <row r="80" spans="1:10" ht="19.5" thickBot="1" x14ac:dyDescent="0.3">
      <c r="A80" s="37"/>
      <c r="B80" s="38"/>
      <c r="C80" s="39"/>
      <c r="D80" s="39"/>
      <c r="E80" s="40" t="s">
        <v>89</v>
      </c>
      <c r="F80" s="39" t="s">
        <v>90</v>
      </c>
      <c r="G80" s="39" t="s">
        <v>75</v>
      </c>
      <c r="H80" s="39">
        <v>35700</v>
      </c>
      <c r="I80" s="39">
        <v>0.35</v>
      </c>
      <c r="J80" s="55"/>
    </row>
    <row r="81" spans="1:10" x14ac:dyDescent="0.25">
      <c r="A81" s="23">
        <v>1.1100000000000001</v>
      </c>
      <c r="B81" s="24" t="s">
        <v>131</v>
      </c>
      <c r="C81" s="25" t="s">
        <v>132</v>
      </c>
      <c r="D81" s="18" t="s">
        <v>133</v>
      </c>
      <c r="E81" s="19">
        <v>160706</v>
      </c>
      <c r="F81" s="18" t="s">
        <v>134</v>
      </c>
      <c r="G81" s="18" t="s">
        <v>67</v>
      </c>
      <c r="H81" s="18">
        <v>283000</v>
      </c>
      <c r="I81" s="19">
        <v>10</v>
      </c>
      <c r="J81" s="28">
        <f>SUMPRODUCT(H81:H93,I81:I93)</f>
        <v>4636120</v>
      </c>
    </row>
    <row r="82" spans="1:10" x14ac:dyDescent="0.25">
      <c r="A82" s="29"/>
      <c r="B82" s="30"/>
      <c r="C82" s="31"/>
      <c r="D82" s="31" t="s">
        <v>64</v>
      </c>
      <c r="E82" s="32" t="s">
        <v>65</v>
      </c>
      <c r="F82" s="31" t="s">
        <v>66</v>
      </c>
      <c r="G82" s="31" t="s">
        <v>67</v>
      </c>
      <c r="H82" s="31">
        <v>156000</v>
      </c>
      <c r="I82" s="31"/>
      <c r="J82" s="45"/>
    </row>
    <row r="83" spans="1:10" x14ac:dyDescent="0.25">
      <c r="A83" s="29"/>
      <c r="B83" s="30"/>
      <c r="C83" s="31"/>
      <c r="D83" s="31"/>
      <c r="E83" s="32" t="s">
        <v>68</v>
      </c>
      <c r="F83" s="36" t="s">
        <v>69</v>
      </c>
      <c r="G83" s="31" t="s">
        <v>67</v>
      </c>
      <c r="H83" s="31">
        <v>136000</v>
      </c>
      <c r="I83" s="31">
        <v>10</v>
      </c>
      <c r="J83" s="45"/>
    </row>
    <row r="84" spans="1:10" x14ac:dyDescent="0.25">
      <c r="A84" s="29"/>
      <c r="B84" s="30"/>
      <c r="C84" s="31"/>
      <c r="D84" s="31"/>
      <c r="E84" s="32" t="s">
        <v>70</v>
      </c>
      <c r="F84" s="31" t="s">
        <v>71</v>
      </c>
      <c r="G84" s="31" t="s">
        <v>67</v>
      </c>
      <c r="H84" s="31">
        <v>132000</v>
      </c>
      <c r="I84" s="31"/>
      <c r="J84" s="45"/>
    </row>
    <row r="85" spans="1:10" x14ac:dyDescent="0.25">
      <c r="A85" s="29"/>
      <c r="B85" s="30"/>
      <c r="C85" s="31"/>
      <c r="D85" s="31" t="s">
        <v>72</v>
      </c>
      <c r="E85" s="32" t="s">
        <v>73</v>
      </c>
      <c r="F85" s="35" t="s">
        <v>74</v>
      </c>
      <c r="G85" s="31" t="s">
        <v>75</v>
      </c>
      <c r="H85" s="31">
        <v>3949000</v>
      </c>
      <c r="I85" s="31"/>
      <c r="J85" s="45"/>
    </row>
    <row r="86" spans="1:10" x14ac:dyDescent="0.25">
      <c r="A86" s="29"/>
      <c r="B86" s="30"/>
      <c r="C86" s="31"/>
      <c r="D86" s="31"/>
      <c r="E86" s="32" t="s">
        <v>76</v>
      </c>
      <c r="F86" s="35" t="s">
        <v>77</v>
      </c>
      <c r="G86" s="31" t="s">
        <v>75</v>
      </c>
      <c r="H86" s="31">
        <v>4164000</v>
      </c>
      <c r="I86" s="31"/>
      <c r="J86" s="45"/>
    </row>
    <row r="87" spans="1:10" x14ac:dyDescent="0.25">
      <c r="A87" s="29"/>
      <c r="B87" s="30"/>
      <c r="C87" s="31"/>
      <c r="D87" s="30"/>
      <c r="E87" s="32" t="s">
        <v>79</v>
      </c>
      <c r="F87" s="31" t="s">
        <v>80</v>
      </c>
      <c r="G87" s="31" t="s">
        <v>75</v>
      </c>
      <c r="H87" s="31">
        <v>4256000</v>
      </c>
      <c r="I87" s="31"/>
      <c r="J87" s="45"/>
    </row>
    <row r="88" spans="1:10" x14ac:dyDescent="0.25">
      <c r="A88" s="29"/>
      <c r="B88" s="30"/>
      <c r="C88" s="31"/>
      <c r="D88" s="31"/>
      <c r="E88" s="32" t="s">
        <v>81</v>
      </c>
      <c r="F88" s="31" t="s">
        <v>82</v>
      </c>
      <c r="G88" s="31" t="s">
        <v>75</v>
      </c>
      <c r="H88" s="31">
        <v>4349000</v>
      </c>
      <c r="I88" s="31">
        <v>0.1</v>
      </c>
      <c r="J88" s="45"/>
    </row>
    <row r="89" spans="1:10" x14ac:dyDescent="0.25">
      <c r="A89" s="29"/>
      <c r="B89" s="30"/>
      <c r="C89" s="31"/>
      <c r="D89" s="31"/>
      <c r="E89" s="32" t="s">
        <v>83</v>
      </c>
      <c r="F89" s="31" t="s">
        <v>84</v>
      </c>
      <c r="G89" s="31" t="s">
        <v>75</v>
      </c>
      <c r="H89" s="31">
        <v>4470000</v>
      </c>
      <c r="I89" s="31"/>
      <c r="J89" s="45"/>
    </row>
    <row r="90" spans="1:10" x14ac:dyDescent="0.25">
      <c r="A90" s="29"/>
      <c r="B90" s="30"/>
      <c r="C90" s="31"/>
      <c r="D90" s="31"/>
      <c r="E90" s="32" t="s">
        <v>85</v>
      </c>
      <c r="F90" s="31" t="s">
        <v>86</v>
      </c>
      <c r="G90" s="31" t="s">
        <v>75</v>
      </c>
      <c r="H90" s="31">
        <v>4536000</v>
      </c>
      <c r="I90" s="31"/>
      <c r="J90" s="45"/>
    </row>
    <row r="91" spans="1:10" x14ac:dyDescent="0.25">
      <c r="A91" s="29"/>
      <c r="B91" s="30"/>
      <c r="C91" s="31"/>
      <c r="D91" s="31"/>
      <c r="E91" s="32" t="s">
        <v>87</v>
      </c>
      <c r="F91" s="31" t="s">
        <v>88</v>
      </c>
      <c r="G91" s="31" t="s">
        <v>75</v>
      </c>
      <c r="H91" s="31">
        <v>4673000</v>
      </c>
      <c r="I91" s="31"/>
      <c r="J91" s="45"/>
    </row>
    <row r="92" spans="1:10" x14ac:dyDescent="0.25">
      <c r="A92" s="29"/>
      <c r="B92" s="30"/>
      <c r="C92" s="31"/>
      <c r="D92" s="31"/>
      <c r="E92" s="32" t="s">
        <v>135</v>
      </c>
      <c r="F92" s="31" t="s">
        <v>136</v>
      </c>
      <c r="G92" s="31" t="s">
        <v>75</v>
      </c>
      <c r="H92" s="31">
        <v>76500</v>
      </c>
      <c r="I92" s="31">
        <v>0.1</v>
      </c>
      <c r="J92" s="45"/>
    </row>
    <row r="93" spans="1:10" ht="19.5" thickBot="1" x14ac:dyDescent="0.3">
      <c r="A93" s="37"/>
      <c r="B93" s="38"/>
      <c r="C93" s="39"/>
      <c r="D93" s="39"/>
      <c r="E93" s="40" t="s">
        <v>89</v>
      </c>
      <c r="F93" s="39" t="s">
        <v>90</v>
      </c>
      <c r="G93" s="39" t="s">
        <v>75</v>
      </c>
      <c r="H93" s="39">
        <v>35700</v>
      </c>
      <c r="I93" s="39">
        <v>0.1</v>
      </c>
      <c r="J93" s="55"/>
    </row>
  </sheetData>
  <mergeCells count="3">
    <mergeCell ref="A1:J1"/>
    <mergeCell ref="L1:U1"/>
    <mergeCell ref="W1:AF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3"/>
  <sheetViews>
    <sheetView rightToLeft="1" zoomScale="55" zoomScaleNormal="55" workbookViewId="0">
      <selection activeCell="K1" sqref="K1:K1048576"/>
    </sheetView>
  </sheetViews>
  <sheetFormatPr defaultRowHeight="18.75" x14ac:dyDescent="0.25"/>
  <cols>
    <col min="1" max="1" width="9.140625" style="20"/>
    <col min="2" max="2" width="57" style="20" bestFit="1" customWidth="1"/>
    <col min="3" max="3" width="27.42578125" style="22" bestFit="1" customWidth="1"/>
    <col min="4" max="4" width="9.140625" style="22"/>
    <col min="5" max="5" width="11.42578125" style="56" bestFit="1" customWidth="1"/>
    <col min="6" max="6" width="133.7109375" style="22" bestFit="1" customWidth="1"/>
    <col min="7" max="7" width="9.140625" style="22"/>
    <col min="8" max="8" width="13.42578125" style="22" bestFit="1" customWidth="1"/>
    <col min="9" max="9" width="9.140625" style="20"/>
    <col min="10" max="10" width="12.28515625" style="20" bestFit="1" customWidth="1"/>
    <col min="11" max="11" width="9.140625" style="135"/>
    <col min="12" max="12" width="6.85546875" style="20" bestFit="1" customWidth="1"/>
    <col min="13" max="13" width="64.5703125" style="20" bestFit="1" customWidth="1"/>
    <col min="14" max="14" width="28" style="20" bestFit="1" customWidth="1"/>
    <col min="15" max="15" width="15.140625" style="20" bestFit="1" customWidth="1"/>
    <col min="16" max="20" width="9.140625" style="20"/>
    <col min="21" max="21" width="19" style="20" bestFit="1" customWidth="1"/>
    <col min="22" max="22" width="9.140625" style="135"/>
    <col min="23" max="16384" width="9.140625" style="20"/>
  </cols>
  <sheetData>
    <row r="1" spans="1:21" ht="38.25" customHeight="1" x14ac:dyDescent="0.25">
      <c r="A1" s="16" t="s">
        <v>137</v>
      </c>
      <c r="B1" s="17" t="s">
        <v>138</v>
      </c>
      <c r="C1" s="57"/>
      <c r="D1" s="57"/>
      <c r="E1" s="57"/>
      <c r="F1" s="57"/>
      <c r="G1" s="57"/>
      <c r="H1" s="57"/>
      <c r="I1" s="21"/>
      <c r="J1" s="21"/>
      <c r="L1" s="59" t="s">
        <v>137</v>
      </c>
      <c r="M1" s="60" t="s">
        <v>138</v>
      </c>
      <c r="N1"/>
      <c r="O1"/>
      <c r="P1"/>
      <c r="Q1"/>
      <c r="R1"/>
      <c r="S1"/>
      <c r="U1" s="56" t="s">
        <v>317</v>
      </c>
    </row>
    <row r="2" spans="1:21" ht="21.75" thickBot="1" x14ac:dyDescent="0.3">
      <c r="A2" s="21" t="s">
        <v>43</v>
      </c>
      <c r="B2" s="21" t="s">
        <v>44</v>
      </c>
      <c r="C2" s="18" t="s">
        <v>45</v>
      </c>
      <c r="D2" s="21" t="s">
        <v>46</v>
      </c>
      <c r="E2" s="18" t="s">
        <v>47</v>
      </c>
      <c r="F2" s="18" t="s">
        <v>48</v>
      </c>
      <c r="G2" s="18" t="s">
        <v>49</v>
      </c>
      <c r="H2" s="18" t="s">
        <v>50</v>
      </c>
      <c r="I2" s="18" t="s">
        <v>51</v>
      </c>
      <c r="J2" s="18" t="s">
        <v>52</v>
      </c>
      <c r="L2" s="106" t="s">
        <v>43</v>
      </c>
      <c r="M2" s="107" t="s">
        <v>44</v>
      </c>
      <c r="N2" s="108" t="s">
        <v>45</v>
      </c>
      <c r="O2" s="109" t="s">
        <v>318</v>
      </c>
      <c r="P2" s="109" t="s">
        <v>319</v>
      </c>
      <c r="Q2" s="109" t="s">
        <v>320</v>
      </c>
      <c r="R2" s="109" t="s">
        <v>321</v>
      </c>
      <c r="S2" s="109" t="s">
        <v>322</v>
      </c>
      <c r="T2" s="109" t="s">
        <v>323</v>
      </c>
      <c r="U2" s="108" t="s">
        <v>324</v>
      </c>
    </row>
    <row r="3" spans="1:21" x14ac:dyDescent="0.25">
      <c r="A3" s="23">
        <v>2.0099999999999998</v>
      </c>
      <c r="B3" s="24" t="s">
        <v>53</v>
      </c>
      <c r="C3" s="25" t="s">
        <v>8</v>
      </c>
      <c r="D3" s="25" t="s">
        <v>54</v>
      </c>
      <c r="E3" s="26" t="s">
        <v>55</v>
      </c>
      <c r="F3" s="27" t="s">
        <v>56</v>
      </c>
      <c r="G3" s="25" t="s">
        <v>57</v>
      </c>
      <c r="H3" s="25">
        <v>1148000</v>
      </c>
      <c r="I3" s="25">
        <v>1</v>
      </c>
      <c r="J3" s="28">
        <f>SUMPRODUCT(H3:H17,I3:I17)</f>
        <v>7442645</v>
      </c>
      <c r="L3" s="106">
        <v>2.0099999999999998</v>
      </c>
      <c r="M3" s="107" t="s">
        <v>53</v>
      </c>
      <c r="N3" s="108" t="s">
        <v>8</v>
      </c>
      <c r="O3" s="109" t="s">
        <v>325</v>
      </c>
      <c r="P3" s="109">
        <v>0.35</v>
      </c>
      <c r="Q3" s="109">
        <v>2365</v>
      </c>
      <c r="R3" s="109">
        <f>P3*Q3</f>
        <v>827.75</v>
      </c>
      <c r="S3" s="109">
        <v>0.82</v>
      </c>
      <c r="T3" s="109">
        <f>R3*S3</f>
        <v>678.755</v>
      </c>
      <c r="U3" s="108">
        <v>1148</v>
      </c>
    </row>
    <row r="4" spans="1:21" x14ac:dyDescent="0.25">
      <c r="A4" s="29"/>
      <c r="B4" s="30"/>
      <c r="C4" s="31"/>
      <c r="D4" s="31"/>
      <c r="E4" s="32" t="s">
        <v>58</v>
      </c>
      <c r="F4" s="31" t="s">
        <v>59</v>
      </c>
      <c r="G4" s="31" t="s">
        <v>57</v>
      </c>
      <c r="H4" s="33">
        <v>1284000</v>
      </c>
      <c r="I4" s="31"/>
      <c r="J4" s="34"/>
      <c r="L4" s="110"/>
      <c r="M4" s="111"/>
      <c r="N4" s="112"/>
      <c r="O4" s="68" t="s">
        <v>326</v>
      </c>
      <c r="P4" s="68" t="s">
        <v>327</v>
      </c>
      <c r="Q4" s="68">
        <v>7850</v>
      </c>
      <c r="R4" s="68">
        <v>35</v>
      </c>
      <c r="S4" s="68">
        <v>12.7</v>
      </c>
      <c r="T4" s="68">
        <f>R4*S4</f>
        <v>444.5</v>
      </c>
      <c r="U4" s="112" t="s">
        <v>328</v>
      </c>
    </row>
    <row r="5" spans="1:21" x14ac:dyDescent="0.25">
      <c r="A5" s="29"/>
      <c r="B5" s="30"/>
      <c r="C5" s="31"/>
      <c r="D5" s="31"/>
      <c r="E5" s="32" t="s">
        <v>60</v>
      </c>
      <c r="F5" s="31" t="s">
        <v>61</v>
      </c>
      <c r="G5" s="31" t="s">
        <v>57</v>
      </c>
      <c r="H5" s="33">
        <v>1470000</v>
      </c>
      <c r="I5" s="31"/>
      <c r="J5" s="34"/>
      <c r="L5" s="113"/>
      <c r="M5" s="114"/>
      <c r="N5" s="115"/>
      <c r="O5" s="116" t="s">
        <v>152</v>
      </c>
      <c r="P5" s="116"/>
      <c r="Q5" s="116"/>
      <c r="R5" s="116"/>
      <c r="S5" s="116"/>
      <c r="T5" s="116">
        <f>T3+T4</f>
        <v>1123.2550000000001</v>
      </c>
      <c r="U5" s="115" t="s">
        <v>329</v>
      </c>
    </row>
    <row r="6" spans="1:21" x14ac:dyDescent="0.25">
      <c r="A6" s="29"/>
      <c r="B6" s="30"/>
      <c r="C6" s="31"/>
      <c r="D6" s="31"/>
      <c r="E6" s="32" t="s">
        <v>62</v>
      </c>
      <c r="F6" s="31" t="s">
        <v>63</v>
      </c>
      <c r="G6" s="31" t="s">
        <v>57</v>
      </c>
      <c r="H6" s="35">
        <v>1695000</v>
      </c>
      <c r="I6" s="31"/>
      <c r="J6" s="34"/>
      <c r="L6" s="110">
        <v>2.02</v>
      </c>
      <c r="M6" s="111" t="s">
        <v>91</v>
      </c>
      <c r="N6" s="112" t="s">
        <v>92</v>
      </c>
      <c r="O6" s="109" t="s">
        <v>330</v>
      </c>
      <c r="P6" s="109">
        <v>0.2</v>
      </c>
      <c r="Q6" s="109">
        <v>2365</v>
      </c>
      <c r="R6" s="109">
        <f t="shared" ref="R6:R23" si="0">P6*Q6</f>
        <v>473</v>
      </c>
      <c r="S6" s="109">
        <v>0.72</v>
      </c>
      <c r="T6" s="109">
        <f t="shared" ref="T6:T25" si="1">R6*S6</f>
        <v>340.56</v>
      </c>
      <c r="U6" s="108">
        <v>595</v>
      </c>
    </row>
    <row r="7" spans="1:21" x14ac:dyDescent="0.25">
      <c r="A7" s="29"/>
      <c r="B7" s="30"/>
      <c r="C7" s="31"/>
      <c r="D7" s="31" t="s">
        <v>64</v>
      </c>
      <c r="E7" s="32" t="s">
        <v>65</v>
      </c>
      <c r="F7" s="31" t="s">
        <v>66</v>
      </c>
      <c r="G7" s="31" t="s">
        <v>67</v>
      </c>
      <c r="H7" s="31">
        <v>156000</v>
      </c>
      <c r="I7" s="31"/>
      <c r="J7" s="34"/>
      <c r="L7" s="110"/>
      <c r="M7" s="111"/>
      <c r="N7" s="112"/>
      <c r="O7" s="68" t="s">
        <v>326</v>
      </c>
      <c r="P7" s="68" t="s">
        <v>327</v>
      </c>
      <c r="Q7" s="68">
        <v>7850</v>
      </c>
      <c r="R7" s="68">
        <v>20</v>
      </c>
      <c r="S7" s="68">
        <v>12.7</v>
      </c>
      <c r="T7" s="68">
        <f t="shared" si="1"/>
        <v>254</v>
      </c>
      <c r="U7" s="112" t="s">
        <v>331</v>
      </c>
    </row>
    <row r="8" spans="1:21" x14ac:dyDescent="0.25">
      <c r="A8" s="29"/>
      <c r="B8" s="30"/>
      <c r="C8" s="31"/>
      <c r="D8" s="31"/>
      <c r="E8" s="32" t="s">
        <v>68</v>
      </c>
      <c r="F8" s="36" t="s">
        <v>69</v>
      </c>
      <c r="G8" s="31" t="s">
        <v>67</v>
      </c>
      <c r="H8" s="31">
        <v>136000</v>
      </c>
      <c r="I8" s="31">
        <v>35</v>
      </c>
      <c r="J8" s="34"/>
      <c r="L8" s="110"/>
      <c r="M8" s="111"/>
      <c r="N8" s="112"/>
      <c r="O8" s="116" t="s">
        <v>152</v>
      </c>
      <c r="P8" s="116"/>
      <c r="Q8" s="116"/>
      <c r="R8" s="116"/>
      <c r="S8" s="116"/>
      <c r="T8" s="116">
        <f>T6+T7</f>
        <v>594.55999999999995</v>
      </c>
      <c r="U8" s="115" t="s">
        <v>332</v>
      </c>
    </row>
    <row r="9" spans="1:21" x14ac:dyDescent="0.25">
      <c r="A9" s="29"/>
      <c r="B9" s="30"/>
      <c r="C9" s="31"/>
      <c r="D9" s="31"/>
      <c r="E9" s="32" t="s">
        <v>70</v>
      </c>
      <c r="F9" s="31" t="s">
        <v>71</v>
      </c>
      <c r="G9" s="31" t="s">
        <v>67</v>
      </c>
      <c r="H9" s="31">
        <v>132000</v>
      </c>
      <c r="I9" s="31"/>
      <c r="J9" s="34"/>
      <c r="L9" s="106">
        <v>2.0299999999999998</v>
      </c>
      <c r="M9" s="107" t="s">
        <v>100</v>
      </c>
      <c r="N9" s="108" t="s">
        <v>101</v>
      </c>
      <c r="O9" s="109" t="s">
        <v>333</v>
      </c>
      <c r="P9" s="109">
        <v>0.2</v>
      </c>
      <c r="Q9" s="109">
        <v>2365</v>
      </c>
      <c r="R9" s="109">
        <f t="shared" si="0"/>
        <v>473</v>
      </c>
      <c r="S9" s="109">
        <v>0.69</v>
      </c>
      <c r="T9" s="109">
        <f t="shared" si="1"/>
        <v>326.36999999999995</v>
      </c>
      <c r="U9" s="108">
        <v>605</v>
      </c>
    </row>
    <row r="10" spans="1:21" x14ac:dyDescent="0.25">
      <c r="A10" s="29"/>
      <c r="B10" s="30"/>
      <c r="C10" s="31"/>
      <c r="D10" s="31" t="s">
        <v>72</v>
      </c>
      <c r="E10" s="32" t="s">
        <v>73</v>
      </c>
      <c r="F10" s="35" t="s">
        <v>74</v>
      </c>
      <c r="G10" s="31" t="s">
        <v>75</v>
      </c>
      <c r="H10" s="31">
        <v>3949000</v>
      </c>
      <c r="I10" s="31"/>
      <c r="J10" s="34"/>
      <c r="L10" s="110"/>
      <c r="M10" s="111"/>
      <c r="N10" s="112"/>
      <c r="O10" s="68" t="s">
        <v>326</v>
      </c>
      <c r="P10" s="68" t="s">
        <v>327</v>
      </c>
      <c r="Q10" s="68">
        <v>7850</v>
      </c>
      <c r="R10" s="68">
        <v>20</v>
      </c>
      <c r="S10" s="68">
        <v>12.7</v>
      </c>
      <c r="T10" s="68">
        <f t="shared" si="1"/>
        <v>254</v>
      </c>
      <c r="U10" s="112" t="s">
        <v>331</v>
      </c>
    </row>
    <row r="11" spans="1:21" x14ac:dyDescent="0.25">
      <c r="A11" s="29"/>
      <c r="B11" s="30"/>
      <c r="C11" s="31"/>
      <c r="D11" s="31"/>
      <c r="E11" s="32" t="s">
        <v>76</v>
      </c>
      <c r="F11" s="35" t="s">
        <v>77</v>
      </c>
      <c r="G11" s="31" t="s">
        <v>75</v>
      </c>
      <c r="H11" s="31">
        <v>4164000</v>
      </c>
      <c r="I11" s="31"/>
      <c r="J11" s="34"/>
      <c r="L11" s="113"/>
      <c r="M11" s="114"/>
      <c r="N11" s="115"/>
      <c r="O11" s="68" t="s">
        <v>152</v>
      </c>
      <c r="P11" s="68"/>
      <c r="Q11" s="68"/>
      <c r="R11" s="68"/>
      <c r="S11" s="68"/>
      <c r="T11" s="68">
        <f>T9+T10</f>
        <v>580.36999999999989</v>
      </c>
      <c r="U11" s="115" t="s">
        <v>332</v>
      </c>
    </row>
    <row r="12" spans="1:21" x14ac:dyDescent="0.25">
      <c r="A12" s="29"/>
      <c r="B12" s="30" t="s">
        <v>78</v>
      </c>
      <c r="C12" s="31"/>
      <c r="D12" s="30"/>
      <c r="E12" s="32" t="s">
        <v>79</v>
      </c>
      <c r="F12" s="31" t="s">
        <v>80</v>
      </c>
      <c r="G12" s="31" t="s">
        <v>75</v>
      </c>
      <c r="H12" s="31">
        <v>4256000</v>
      </c>
      <c r="I12" s="31"/>
      <c r="J12" s="34"/>
      <c r="L12" s="110">
        <v>2.04</v>
      </c>
      <c r="M12" s="123" t="s">
        <v>104</v>
      </c>
      <c r="N12" s="112" t="s">
        <v>105</v>
      </c>
      <c r="O12" s="118" t="s">
        <v>325</v>
      </c>
      <c r="P12" s="109">
        <v>0.18</v>
      </c>
      <c r="Q12" s="109">
        <v>2365</v>
      </c>
      <c r="R12" s="109">
        <f t="shared" si="0"/>
        <v>425.7</v>
      </c>
      <c r="S12" s="109">
        <v>0.82</v>
      </c>
      <c r="T12" s="109">
        <f t="shared" si="1"/>
        <v>349.07399999999996</v>
      </c>
      <c r="U12" s="108">
        <v>471</v>
      </c>
    </row>
    <row r="13" spans="1:21" x14ac:dyDescent="0.25">
      <c r="A13" s="29"/>
      <c r="B13" s="30"/>
      <c r="C13" s="31"/>
      <c r="D13" s="31"/>
      <c r="E13" s="32" t="s">
        <v>81</v>
      </c>
      <c r="F13" s="36" t="s">
        <v>82</v>
      </c>
      <c r="G13" s="31" t="s">
        <v>75</v>
      </c>
      <c r="H13" s="31">
        <v>4349000</v>
      </c>
      <c r="I13" s="31">
        <v>0.35</v>
      </c>
      <c r="J13" s="34"/>
      <c r="L13" s="110"/>
      <c r="M13" s="111"/>
      <c r="N13" s="112"/>
      <c r="O13" s="68" t="s">
        <v>326</v>
      </c>
      <c r="P13" s="68" t="s">
        <v>327</v>
      </c>
      <c r="Q13" s="68">
        <v>7850</v>
      </c>
      <c r="R13" s="68">
        <v>11</v>
      </c>
      <c r="S13" s="68">
        <v>12.7</v>
      </c>
      <c r="T13" s="68">
        <f t="shared" si="1"/>
        <v>139.69999999999999</v>
      </c>
      <c r="U13" s="112" t="s">
        <v>331</v>
      </c>
    </row>
    <row r="14" spans="1:21" x14ac:dyDescent="0.25">
      <c r="A14" s="29"/>
      <c r="B14" s="30"/>
      <c r="C14" s="31"/>
      <c r="D14" s="31"/>
      <c r="E14" s="32" t="s">
        <v>83</v>
      </c>
      <c r="F14" s="31" t="s">
        <v>84</v>
      </c>
      <c r="G14" s="31" t="s">
        <v>75</v>
      </c>
      <c r="H14" s="31">
        <v>4470000</v>
      </c>
      <c r="I14" s="31"/>
      <c r="J14" s="34"/>
      <c r="L14" s="110"/>
      <c r="M14" s="111"/>
      <c r="N14" s="112"/>
      <c r="O14" s="119" t="s">
        <v>334</v>
      </c>
      <c r="P14" s="68" t="s">
        <v>327</v>
      </c>
      <c r="Q14" s="68">
        <v>1606</v>
      </c>
      <c r="R14" s="68">
        <f>10*14</f>
        <v>140</v>
      </c>
      <c r="S14" s="68">
        <v>0.66</v>
      </c>
      <c r="T14" s="68">
        <f t="shared" si="1"/>
        <v>92.4</v>
      </c>
      <c r="U14" s="112" t="s">
        <v>335</v>
      </c>
    </row>
    <row r="15" spans="1:21" x14ac:dyDescent="0.25">
      <c r="A15" s="29"/>
      <c r="B15" s="30"/>
      <c r="C15" s="31"/>
      <c r="D15" s="31"/>
      <c r="E15" s="32" t="s">
        <v>85</v>
      </c>
      <c r="F15" s="31" t="s">
        <v>86</v>
      </c>
      <c r="G15" s="31" t="s">
        <v>75</v>
      </c>
      <c r="H15" s="31">
        <v>4536000</v>
      </c>
      <c r="I15" s="31"/>
      <c r="J15" s="34"/>
      <c r="L15" s="110"/>
      <c r="M15" s="111"/>
      <c r="N15" s="112"/>
      <c r="O15" s="68" t="s">
        <v>152</v>
      </c>
      <c r="P15" s="68"/>
      <c r="Q15" s="68"/>
      <c r="R15" s="68"/>
      <c r="S15" s="68"/>
      <c r="T15" s="68">
        <f>T12+T13+T14</f>
        <v>581.17399999999998</v>
      </c>
      <c r="U15" s="112"/>
    </row>
    <row r="16" spans="1:21" x14ac:dyDescent="0.25">
      <c r="A16" s="29"/>
      <c r="B16" s="30"/>
      <c r="C16" s="31"/>
      <c r="D16" s="31"/>
      <c r="E16" s="32" t="s">
        <v>87</v>
      </c>
      <c r="F16" s="31" t="s">
        <v>88</v>
      </c>
      <c r="G16" s="31" t="s">
        <v>75</v>
      </c>
      <c r="H16" s="31">
        <v>4673000</v>
      </c>
      <c r="I16" s="31"/>
      <c r="J16" s="34"/>
      <c r="L16" s="106">
        <v>2.06</v>
      </c>
      <c r="M16" s="117" t="s">
        <v>115</v>
      </c>
      <c r="N16" s="108" t="s">
        <v>116</v>
      </c>
      <c r="O16" s="118" t="s">
        <v>325</v>
      </c>
      <c r="P16" s="109">
        <v>0.18</v>
      </c>
      <c r="Q16" s="109">
        <v>2365</v>
      </c>
      <c r="R16" s="109">
        <f t="shared" si="0"/>
        <v>425.7</v>
      </c>
      <c r="S16" s="109">
        <v>0.82</v>
      </c>
      <c r="T16" s="109">
        <f t="shared" si="1"/>
        <v>349.07399999999996</v>
      </c>
      <c r="U16" s="108">
        <v>536</v>
      </c>
    </row>
    <row r="17" spans="1:21" ht="19.5" thickBot="1" x14ac:dyDescent="0.3">
      <c r="A17" s="37"/>
      <c r="B17" s="38"/>
      <c r="C17" s="39"/>
      <c r="D17" s="39"/>
      <c r="E17" s="40" t="s">
        <v>89</v>
      </c>
      <c r="F17" s="41" t="s">
        <v>90</v>
      </c>
      <c r="G17" s="39" t="s">
        <v>75</v>
      </c>
      <c r="H17" s="39">
        <v>35700</v>
      </c>
      <c r="I17" s="39">
        <v>0.35</v>
      </c>
      <c r="J17" s="42"/>
      <c r="L17" s="110"/>
      <c r="M17" s="111"/>
      <c r="N17" s="112"/>
      <c r="O17" s="68" t="s">
        <v>326</v>
      </c>
      <c r="P17" s="68" t="s">
        <v>327</v>
      </c>
      <c r="Q17" s="68">
        <v>7850</v>
      </c>
      <c r="R17" s="68">
        <v>11</v>
      </c>
      <c r="S17" s="68">
        <v>12.7</v>
      </c>
      <c r="T17" s="68">
        <f t="shared" si="1"/>
        <v>139.69999999999999</v>
      </c>
      <c r="U17" s="112" t="s">
        <v>331</v>
      </c>
    </row>
    <row r="18" spans="1:21" x14ac:dyDescent="0.25">
      <c r="A18" s="29">
        <v>2.02</v>
      </c>
      <c r="B18" s="43" t="s">
        <v>91</v>
      </c>
      <c r="C18" s="25" t="s">
        <v>92</v>
      </c>
      <c r="D18" s="25" t="s">
        <v>54</v>
      </c>
      <c r="E18" s="26" t="s">
        <v>55</v>
      </c>
      <c r="F18" s="27" t="s">
        <v>56</v>
      </c>
      <c r="G18" s="25" t="s">
        <v>57</v>
      </c>
      <c r="H18" s="25">
        <v>1148000</v>
      </c>
      <c r="I18" s="25">
        <v>1</v>
      </c>
      <c r="J18" s="28">
        <f>SUMPRODUCT(H18:H32,I18:I32)-(2399-1954)*0.25*300*0.2</f>
        <v>4738265</v>
      </c>
      <c r="L18" s="110"/>
      <c r="M18" s="111"/>
      <c r="N18" s="112"/>
      <c r="O18" s="119" t="s">
        <v>336</v>
      </c>
      <c r="P18" s="68"/>
      <c r="Q18" s="68">
        <v>20</v>
      </c>
      <c r="R18" s="68">
        <v>3</v>
      </c>
      <c r="S18" s="68">
        <v>82.6</v>
      </c>
      <c r="T18" s="68">
        <f t="shared" si="1"/>
        <v>247.79999999999998</v>
      </c>
      <c r="U18" s="112" t="s">
        <v>335</v>
      </c>
    </row>
    <row r="19" spans="1:21" x14ac:dyDescent="0.25">
      <c r="A19" s="29"/>
      <c r="B19" s="30"/>
      <c r="C19" s="31"/>
      <c r="D19" s="31"/>
      <c r="E19" s="32" t="s">
        <v>58</v>
      </c>
      <c r="F19" s="31" t="s">
        <v>59</v>
      </c>
      <c r="G19" s="31" t="s">
        <v>57</v>
      </c>
      <c r="H19" s="33">
        <v>1284000</v>
      </c>
      <c r="I19" s="31"/>
      <c r="J19" s="44"/>
      <c r="L19" s="113"/>
      <c r="M19" s="114"/>
      <c r="N19" s="115"/>
      <c r="O19" s="116" t="s">
        <v>152</v>
      </c>
      <c r="P19" s="116"/>
      <c r="Q19" s="116"/>
      <c r="R19" s="116"/>
      <c r="S19" s="116"/>
      <c r="T19" s="116">
        <f>T16+T17+T18</f>
        <v>736.57399999999996</v>
      </c>
      <c r="U19" s="115"/>
    </row>
    <row r="20" spans="1:21" x14ac:dyDescent="0.25">
      <c r="A20" s="29"/>
      <c r="B20" s="30"/>
      <c r="C20" s="31"/>
      <c r="D20" s="31"/>
      <c r="E20" s="32" t="s">
        <v>60</v>
      </c>
      <c r="F20" s="31" t="s">
        <v>61</v>
      </c>
      <c r="G20" s="31" t="s">
        <v>57</v>
      </c>
      <c r="H20" s="33">
        <v>1470000</v>
      </c>
      <c r="I20" s="31"/>
      <c r="J20" s="44"/>
      <c r="L20" s="110">
        <v>2.08</v>
      </c>
      <c r="M20" s="123" t="s">
        <v>122</v>
      </c>
      <c r="N20" s="112" t="s">
        <v>9</v>
      </c>
      <c r="O20" s="118" t="s">
        <v>325</v>
      </c>
      <c r="P20" s="109">
        <v>0.17</v>
      </c>
      <c r="Q20" s="109">
        <v>2365</v>
      </c>
      <c r="R20" s="109">
        <f t="shared" si="0"/>
        <v>402.05</v>
      </c>
      <c r="S20" s="109">
        <v>0.82</v>
      </c>
      <c r="T20" s="109">
        <f t="shared" si="1"/>
        <v>329.68099999999998</v>
      </c>
      <c r="U20" s="108">
        <v>568</v>
      </c>
    </row>
    <row r="21" spans="1:21" x14ac:dyDescent="0.25">
      <c r="A21" s="29"/>
      <c r="B21" s="30"/>
      <c r="C21" s="31"/>
      <c r="D21" s="31"/>
      <c r="E21" s="32" t="s">
        <v>62</v>
      </c>
      <c r="F21" s="31" t="s">
        <v>63</v>
      </c>
      <c r="G21" s="31" t="s">
        <v>57</v>
      </c>
      <c r="H21" s="35">
        <v>1695000</v>
      </c>
      <c r="I21" s="31"/>
      <c r="J21" s="44"/>
      <c r="L21" s="110"/>
      <c r="M21" s="111"/>
      <c r="N21" s="112"/>
      <c r="O21" s="68" t="s">
        <v>326</v>
      </c>
      <c r="P21" s="68" t="s">
        <v>327</v>
      </c>
      <c r="Q21" s="68">
        <v>7850</v>
      </c>
      <c r="R21" s="68">
        <v>13.1</v>
      </c>
      <c r="S21" s="68">
        <v>12.7</v>
      </c>
      <c r="T21" s="68">
        <f t="shared" si="1"/>
        <v>166.36999999999998</v>
      </c>
      <c r="U21" s="112" t="s">
        <v>328</v>
      </c>
    </row>
    <row r="22" spans="1:21" x14ac:dyDescent="0.25">
      <c r="A22" s="29"/>
      <c r="B22" s="30"/>
      <c r="C22" s="31"/>
      <c r="D22" s="31" t="s">
        <v>64</v>
      </c>
      <c r="E22" s="32" t="s">
        <v>65</v>
      </c>
      <c r="F22" s="31" t="s">
        <v>66</v>
      </c>
      <c r="G22" s="31" t="s">
        <v>67</v>
      </c>
      <c r="H22" s="31">
        <v>156000</v>
      </c>
      <c r="I22" s="31"/>
      <c r="J22" s="45"/>
      <c r="L22" s="110"/>
      <c r="M22" s="111"/>
      <c r="N22" s="112"/>
      <c r="O22" s="68" t="s">
        <v>152</v>
      </c>
      <c r="P22" s="68"/>
      <c r="Q22" s="68"/>
      <c r="R22" s="68"/>
      <c r="S22" s="68"/>
      <c r="T22" s="68">
        <f>T20+T21</f>
        <v>496.05099999999993</v>
      </c>
      <c r="U22" s="115" t="s">
        <v>337</v>
      </c>
    </row>
    <row r="23" spans="1:21" x14ac:dyDescent="0.25">
      <c r="A23" s="29"/>
      <c r="B23" s="30"/>
      <c r="C23" s="31"/>
      <c r="D23" s="31"/>
      <c r="E23" s="32" t="s">
        <v>68</v>
      </c>
      <c r="F23" s="36" t="s">
        <v>69</v>
      </c>
      <c r="G23" s="31" t="s">
        <v>67</v>
      </c>
      <c r="H23" s="31">
        <v>136000</v>
      </c>
      <c r="I23" s="31">
        <v>20</v>
      </c>
      <c r="J23" s="45"/>
      <c r="L23" s="106">
        <v>2.11</v>
      </c>
      <c r="M23" s="117" t="s">
        <v>131</v>
      </c>
      <c r="N23" s="108" t="s">
        <v>132</v>
      </c>
      <c r="O23" s="118" t="s">
        <v>325</v>
      </c>
      <c r="P23" s="109">
        <v>0.11</v>
      </c>
      <c r="Q23" s="109">
        <v>2365</v>
      </c>
      <c r="R23" s="109">
        <f t="shared" si="0"/>
        <v>260.14999999999998</v>
      </c>
      <c r="S23" s="109">
        <v>0.82</v>
      </c>
      <c r="T23" s="109">
        <f t="shared" si="1"/>
        <v>213.32299999999998</v>
      </c>
      <c r="U23" s="108">
        <v>407</v>
      </c>
    </row>
    <row r="24" spans="1:21" x14ac:dyDescent="0.25">
      <c r="A24" s="29"/>
      <c r="B24" s="30"/>
      <c r="C24" s="31"/>
      <c r="D24" s="31"/>
      <c r="E24" s="32" t="s">
        <v>70</v>
      </c>
      <c r="F24" s="31" t="s">
        <v>71</v>
      </c>
      <c r="G24" s="31" t="s">
        <v>67</v>
      </c>
      <c r="H24" s="31">
        <v>132000</v>
      </c>
      <c r="I24" s="31"/>
      <c r="J24" s="45"/>
      <c r="L24" s="110"/>
      <c r="M24" s="111"/>
      <c r="N24" s="112"/>
      <c r="O24" s="69" t="s">
        <v>326</v>
      </c>
      <c r="P24" s="68" t="s">
        <v>327</v>
      </c>
      <c r="Q24" s="68">
        <v>7850</v>
      </c>
      <c r="R24" s="68">
        <v>10</v>
      </c>
      <c r="S24" s="68">
        <v>12.7</v>
      </c>
      <c r="T24" s="68">
        <f t="shared" si="1"/>
        <v>127</v>
      </c>
      <c r="U24" s="120" t="s">
        <v>338</v>
      </c>
    </row>
    <row r="25" spans="1:21" x14ac:dyDescent="0.25">
      <c r="A25" s="29"/>
      <c r="B25" s="30"/>
      <c r="C25" s="31"/>
      <c r="D25" s="31" t="s">
        <v>72</v>
      </c>
      <c r="E25" s="32" t="s">
        <v>73</v>
      </c>
      <c r="F25" s="35" t="s">
        <v>74</v>
      </c>
      <c r="G25" s="31" t="s">
        <v>75</v>
      </c>
      <c r="H25" s="31">
        <v>3949000</v>
      </c>
      <c r="I25" s="31"/>
      <c r="J25" s="45"/>
      <c r="L25" s="110"/>
      <c r="M25" s="111"/>
      <c r="N25" s="112"/>
      <c r="O25" s="68" t="s">
        <v>339</v>
      </c>
      <c r="P25" s="68">
        <v>1.25E-3</v>
      </c>
      <c r="Q25" s="68">
        <v>7850</v>
      </c>
      <c r="R25" s="68">
        <v>10</v>
      </c>
      <c r="S25" s="68">
        <v>19.2</v>
      </c>
      <c r="T25" s="68">
        <f t="shared" si="1"/>
        <v>192</v>
      </c>
      <c r="U25" s="112" t="s">
        <v>340</v>
      </c>
    </row>
    <row r="26" spans="1:21" x14ac:dyDescent="0.25">
      <c r="A26" s="29"/>
      <c r="B26" s="30"/>
      <c r="C26" s="31"/>
      <c r="D26" s="31"/>
      <c r="E26" s="32" t="s">
        <v>76</v>
      </c>
      <c r="F26" s="35" t="s">
        <v>77</v>
      </c>
      <c r="G26" s="31" t="s">
        <v>75</v>
      </c>
      <c r="H26" s="31">
        <v>4164000</v>
      </c>
      <c r="I26" s="31"/>
      <c r="J26" s="45"/>
      <c r="L26" s="113"/>
      <c r="M26" s="114"/>
      <c r="N26" s="115"/>
      <c r="O26" s="121" t="s">
        <v>152</v>
      </c>
      <c r="P26" s="121"/>
      <c r="Q26" s="121"/>
      <c r="R26" s="121"/>
      <c r="S26" s="121"/>
      <c r="T26" s="116">
        <f>T23+T24+T25</f>
        <v>532.32299999999998</v>
      </c>
      <c r="U26" s="122"/>
    </row>
    <row r="27" spans="1:21" x14ac:dyDescent="0.25">
      <c r="A27" s="29"/>
      <c r="B27" s="30"/>
      <c r="C27" s="31"/>
      <c r="D27" s="30"/>
      <c r="E27" s="32" t="s">
        <v>79</v>
      </c>
      <c r="F27" s="31" t="s">
        <v>80</v>
      </c>
      <c r="G27" s="31" t="s">
        <v>75</v>
      </c>
      <c r="H27" s="31">
        <v>4256000</v>
      </c>
      <c r="I27" s="31"/>
      <c r="J27" s="45"/>
    </row>
    <row r="28" spans="1:21" x14ac:dyDescent="0.25">
      <c r="A28" s="29"/>
      <c r="B28" s="30"/>
      <c r="C28" s="31"/>
      <c r="D28" s="31"/>
      <c r="E28" s="32" t="s">
        <v>81</v>
      </c>
      <c r="F28" s="36" t="s">
        <v>82</v>
      </c>
      <c r="G28" s="31" t="s">
        <v>75</v>
      </c>
      <c r="H28" s="31">
        <v>4349000</v>
      </c>
      <c r="I28" s="31">
        <v>0.2</v>
      </c>
      <c r="J28" s="45"/>
    </row>
    <row r="29" spans="1:21" x14ac:dyDescent="0.25">
      <c r="A29" s="29"/>
      <c r="B29" s="30"/>
      <c r="C29" s="31"/>
      <c r="D29" s="31"/>
      <c r="E29" s="32" t="s">
        <v>83</v>
      </c>
      <c r="F29" s="31" t="s">
        <v>84</v>
      </c>
      <c r="G29" s="31" t="s">
        <v>75</v>
      </c>
      <c r="H29" s="31">
        <v>4470000</v>
      </c>
      <c r="I29" s="31"/>
      <c r="J29" s="45"/>
    </row>
    <row r="30" spans="1:21" x14ac:dyDescent="0.25">
      <c r="A30" s="29"/>
      <c r="B30" s="30"/>
      <c r="C30" s="31"/>
      <c r="D30" s="31"/>
      <c r="E30" s="32" t="s">
        <v>85</v>
      </c>
      <c r="F30" s="31" t="s">
        <v>86</v>
      </c>
      <c r="G30" s="31" t="s">
        <v>75</v>
      </c>
      <c r="H30" s="31">
        <v>4536000</v>
      </c>
      <c r="I30" s="31"/>
      <c r="J30" s="45"/>
    </row>
    <row r="31" spans="1:21" x14ac:dyDescent="0.25">
      <c r="A31" s="29"/>
      <c r="B31" s="30"/>
      <c r="C31" s="31"/>
      <c r="D31" s="31"/>
      <c r="E31" s="32" t="s">
        <v>87</v>
      </c>
      <c r="F31" s="31" t="s">
        <v>88</v>
      </c>
      <c r="G31" s="31" t="s">
        <v>75</v>
      </c>
      <c r="H31" s="31">
        <v>4673000</v>
      </c>
      <c r="I31" s="31"/>
      <c r="J31" s="45"/>
    </row>
    <row r="32" spans="1:21" x14ac:dyDescent="0.25">
      <c r="A32" s="29"/>
      <c r="B32" s="30"/>
      <c r="C32" s="31"/>
      <c r="D32" s="31"/>
      <c r="E32" s="32" t="s">
        <v>89</v>
      </c>
      <c r="F32" s="36" t="s">
        <v>90</v>
      </c>
      <c r="G32" s="31" t="s">
        <v>75</v>
      </c>
      <c r="H32" s="31">
        <v>35700</v>
      </c>
      <c r="I32" s="31">
        <v>0.2</v>
      </c>
      <c r="J32" s="45"/>
    </row>
    <row r="33" spans="1:10" ht="19.5" thickBot="1" x14ac:dyDescent="0.3">
      <c r="A33" s="37"/>
      <c r="B33" s="38"/>
      <c r="C33" s="39"/>
      <c r="D33" s="46" t="s">
        <v>95</v>
      </c>
      <c r="E33" s="47" t="s">
        <v>96</v>
      </c>
      <c r="F33" s="46" t="s">
        <v>97</v>
      </c>
      <c r="G33" s="46" t="s">
        <v>67</v>
      </c>
      <c r="H33" s="46">
        <v>1954</v>
      </c>
      <c r="I33" s="46"/>
      <c r="J33" s="48"/>
    </row>
    <row r="34" spans="1:10" x14ac:dyDescent="0.25">
      <c r="A34" s="23">
        <v>2.0299999999999998</v>
      </c>
      <c r="B34" s="49" t="s">
        <v>100</v>
      </c>
      <c r="C34" s="25" t="s">
        <v>101</v>
      </c>
      <c r="D34" s="25" t="s">
        <v>54</v>
      </c>
      <c r="E34" s="26" t="s">
        <v>55</v>
      </c>
      <c r="F34" s="27" t="s">
        <v>56</v>
      </c>
      <c r="G34" s="25" t="s">
        <v>57</v>
      </c>
      <c r="H34" s="25">
        <v>1148000</v>
      </c>
      <c r="I34" s="25">
        <v>1</v>
      </c>
      <c r="J34" s="28">
        <f>SUMPRODUCT(H34:H48,I34:I48)-(2399-H49)*0.3*300*0.2</f>
        <v>4740620</v>
      </c>
    </row>
    <row r="35" spans="1:10" x14ac:dyDescent="0.25">
      <c r="A35" s="29"/>
      <c r="B35" s="30"/>
      <c r="C35" s="31"/>
      <c r="D35" s="31"/>
      <c r="E35" s="32" t="s">
        <v>58</v>
      </c>
      <c r="F35" s="31" t="s">
        <v>59</v>
      </c>
      <c r="G35" s="31" t="s">
        <v>57</v>
      </c>
      <c r="H35" s="33">
        <v>1284000</v>
      </c>
      <c r="I35" s="31"/>
      <c r="J35" s="44"/>
    </row>
    <row r="36" spans="1:10" x14ac:dyDescent="0.25">
      <c r="A36" s="29"/>
      <c r="B36" s="30"/>
      <c r="C36" s="31"/>
      <c r="D36" s="31"/>
      <c r="E36" s="32" t="s">
        <v>60</v>
      </c>
      <c r="F36" s="31" t="s">
        <v>61</v>
      </c>
      <c r="G36" s="31" t="s">
        <v>57</v>
      </c>
      <c r="H36" s="33">
        <v>1470000</v>
      </c>
      <c r="I36" s="31"/>
      <c r="J36" s="44"/>
    </row>
    <row r="37" spans="1:10" x14ac:dyDescent="0.25">
      <c r="A37" s="29"/>
      <c r="B37" s="30"/>
      <c r="C37" s="31"/>
      <c r="D37" s="31"/>
      <c r="E37" s="32" t="s">
        <v>62</v>
      </c>
      <c r="F37" s="31" t="s">
        <v>63</v>
      </c>
      <c r="G37" s="31" t="s">
        <v>57</v>
      </c>
      <c r="H37" s="35">
        <v>1695000</v>
      </c>
      <c r="I37" s="31"/>
      <c r="J37" s="44"/>
    </row>
    <row r="38" spans="1:10" x14ac:dyDescent="0.25">
      <c r="A38" s="29"/>
      <c r="B38" s="30"/>
      <c r="C38" s="31"/>
      <c r="D38" s="31" t="s">
        <v>64</v>
      </c>
      <c r="E38" s="32" t="s">
        <v>65</v>
      </c>
      <c r="F38" s="31" t="s">
        <v>66</v>
      </c>
      <c r="G38" s="31" t="s">
        <v>67</v>
      </c>
      <c r="H38" s="31">
        <v>156000</v>
      </c>
      <c r="I38" s="31"/>
      <c r="J38" s="45"/>
    </row>
    <row r="39" spans="1:10" x14ac:dyDescent="0.25">
      <c r="A39" s="29"/>
      <c r="B39" s="30"/>
      <c r="C39" s="31"/>
      <c r="D39" s="31"/>
      <c r="E39" s="32" t="s">
        <v>68</v>
      </c>
      <c r="F39" s="36" t="s">
        <v>69</v>
      </c>
      <c r="G39" s="31" t="s">
        <v>67</v>
      </c>
      <c r="H39" s="31">
        <v>136000</v>
      </c>
      <c r="I39" s="31">
        <v>20</v>
      </c>
      <c r="J39" s="45"/>
    </row>
    <row r="40" spans="1:10" x14ac:dyDescent="0.25">
      <c r="A40" s="29"/>
      <c r="B40" s="30"/>
      <c r="C40" s="31"/>
      <c r="D40" s="31"/>
      <c r="E40" s="32" t="s">
        <v>70</v>
      </c>
      <c r="F40" s="31" t="s">
        <v>71</v>
      </c>
      <c r="G40" s="31" t="s">
        <v>67</v>
      </c>
      <c r="H40" s="31">
        <v>132000</v>
      </c>
      <c r="I40" s="31"/>
      <c r="J40" s="45"/>
    </row>
    <row r="41" spans="1:10" x14ac:dyDescent="0.25">
      <c r="A41" s="29"/>
      <c r="B41" s="30"/>
      <c r="C41" s="31"/>
      <c r="D41" s="31" t="s">
        <v>72</v>
      </c>
      <c r="E41" s="32" t="s">
        <v>73</v>
      </c>
      <c r="F41" s="35" t="s">
        <v>74</v>
      </c>
      <c r="G41" s="31" t="s">
        <v>75</v>
      </c>
      <c r="H41" s="31">
        <v>3949000</v>
      </c>
      <c r="I41" s="31"/>
      <c r="J41" s="45"/>
    </row>
    <row r="42" spans="1:10" x14ac:dyDescent="0.25">
      <c r="A42" s="29"/>
      <c r="B42" s="30"/>
      <c r="C42" s="31"/>
      <c r="D42" s="31"/>
      <c r="E42" s="32" t="s">
        <v>76</v>
      </c>
      <c r="F42" s="35" t="s">
        <v>77</v>
      </c>
      <c r="G42" s="31" t="s">
        <v>75</v>
      </c>
      <c r="H42" s="31">
        <v>4164000</v>
      </c>
      <c r="I42" s="31"/>
      <c r="J42" s="45"/>
    </row>
    <row r="43" spans="1:10" x14ac:dyDescent="0.25">
      <c r="A43" s="29"/>
      <c r="B43" s="30"/>
      <c r="C43" s="31"/>
      <c r="D43" s="30"/>
      <c r="E43" s="32" t="s">
        <v>79</v>
      </c>
      <c r="F43" s="31" t="s">
        <v>80</v>
      </c>
      <c r="G43" s="31" t="s">
        <v>75</v>
      </c>
      <c r="H43" s="31">
        <v>4256000</v>
      </c>
      <c r="I43" s="31"/>
      <c r="J43" s="45"/>
    </row>
    <row r="44" spans="1:10" x14ac:dyDescent="0.25">
      <c r="A44" s="29"/>
      <c r="B44" s="30"/>
      <c r="C44" s="31"/>
      <c r="D44" s="31"/>
      <c r="E44" s="32" t="s">
        <v>81</v>
      </c>
      <c r="F44" s="36" t="s">
        <v>82</v>
      </c>
      <c r="G44" s="31" t="s">
        <v>75</v>
      </c>
      <c r="H44" s="31">
        <v>4349000</v>
      </c>
      <c r="I44" s="31">
        <v>0.2</v>
      </c>
      <c r="J44" s="45"/>
    </row>
    <row r="45" spans="1:10" x14ac:dyDescent="0.25">
      <c r="A45" s="29"/>
      <c r="B45" s="30"/>
      <c r="C45" s="31"/>
      <c r="D45" s="31"/>
      <c r="E45" s="32" t="s">
        <v>83</v>
      </c>
      <c r="F45" s="31" t="s">
        <v>84</v>
      </c>
      <c r="G45" s="31" t="s">
        <v>75</v>
      </c>
      <c r="H45" s="31">
        <v>4470000</v>
      </c>
      <c r="I45" s="31"/>
      <c r="J45" s="45"/>
    </row>
    <row r="46" spans="1:10" x14ac:dyDescent="0.25">
      <c r="A46" s="29"/>
      <c r="B46" s="30"/>
      <c r="C46" s="31"/>
      <c r="D46" s="31"/>
      <c r="E46" s="32" t="s">
        <v>85</v>
      </c>
      <c r="F46" s="31" t="s">
        <v>86</v>
      </c>
      <c r="G46" s="31" t="s">
        <v>75</v>
      </c>
      <c r="H46" s="31">
        <v>4536000</v>
      </c>
      <c r="I46" s="31"/>
      <c r="J46" s="45"/>
    </row>
    <row r="47" spans="1:10" x14ac:dyDescent="0.25">
      <c r="A47" s="29"/>
      <c r="B47" s="30"/>
      <c r="C47" s="31"/>
      <c r="D47" s="31"/>
      <c r="E47" s="32" t="s">
        <v>87</v>
      </c>
      <c r="F47" s="31" t="s">
        <v>88</v>
      </c>
      <c r="G47" s="31" t="s">
        <v>75</v>
      </c>
      <c r="H47" s="31">
        <v>4673000</v>
      </c>
      <c r="I47" s="31"/>
      <c r="J47" s="45"/>
    </row>
    <row r="48" spans="1:10" x14ac:dyDescent="0.25">
      <c r="A48" s="29"/>
      <c r="B48" s="30"/>
      <c r="C48" s="31"/>
      <c r="D48" s="31"/>
      <c r="E48" s="32" t="s">
        <v>89</v>
      </c>
      <c r="F48" s="36" t="s">
        <v>90</v>
      </c>
      <c r="G48" s="31" t="s">
        <v>75</v>
      </c>
      <c r="H48" s="31">
        <v>35700</v>
      </c>
      <c r="I48" s="31">
        <v>0.2</v>
      </c>
      <c r="J48" s="45"/>
    </row>
    <row r="49" spans="1:10" ht="19.5" thickBot="1" x14ac:dyDescent="0.3">
      <c r="A49" s="37"/>
      <c r="B49" s="38"/>
      <c r="C49" s="39"/>
      <c r="D49" s="46" t="s">
        <v>95</v>
      </c>
      <c r="E49" s="47" t="s">
        <v>102</v>
      </c>
      <c r="F49" s="46" t="s">
        <v>103</v>
      </c>
      <c r="G49" s="46" t="s">
        <v>67</v>
      </c>
      <c r="H49" s="46">
        <v>2159</v>
      </c>
      <c r="I49" s="50"/>
      <c r="J49" s="51"/>
    </row>
    <row r="50" spans="1:10" x14ac:dyDescent="0.25">
      <c r="A50" s="23">
        <v>2.04</v>
      </c>
      <c r="B50" s="24" t="s">
        <v>104</v>
      </c>
      <c r="C50" s="25" t="s">
        <v>105</v>
      </c>
      <c r="D50" s="25" t="s">
        <v>106</v>
      </c>
      <c r="E50" s="26" t="s">
        <v>107</v>
      </c>
      <c r="F50" s="25" t="s">
        <v>108</v>
      </c>
      <c r="G50" s="25" t="s">
        <v>57</v>
      </c>
      <c r="H50" s="25">
        <v>1649000</v>
      </c>
      <c r="I50" s="52"/>
      <c r="J50" s="28">
        <f>SUMPRODUCT(H50:H56,I50:I56)</f>
        <v>3220000</v>
      </c>
    </row>
    <row r="51" spans="1:10" x14ac:dyDescent="0.25">
      <c r="A51" s="29"/>
      <c r="B51" s="30"/>
      <c r="C51" s="31"/>
      <c r="D51" s="31"/>
      <c r="E51" s="32" t="s">
        <v>109</v>
      </c>
      <c r="F51" s="36" t="s">
        <v>110</v>
      </c>
      <c r="G51" s="31" t="s">
        <v>57</v>
      </c>
      <c r="H51" s="31">
        <v>1724000</v>
      </c>
      <c r="I51" s="53">
        <v>1</v>
      </c>
      <c r="J51" s="54"/>
    </row>
    <row r="52" spans="1:10" x14ac:dyDescent="0.25">
      <c r="A52" s="29"/>
      <c r="B52" s="30"/>
      <c r="C52" s="31"/>
      <c r="D52" s="31"/>
      <c r="E52" s="32" t="s">
        <v>111</v>
      </c>
      <c r="F52" s="31" t="s">
        <v>112</v>
      </c>
      <c r="G52" s="31" t="s">
        <v>57</v>
      </c>
      <c r="H52" s="31">
        <v>1791000</v>
      </c>
      <c r="I52" s="53"/>
      <c r="J52" s="54"/>
    </row>
    <row r="53" spans="1:10" x14ac:dyDescent="0.25">
      <c r="A53" s="29"/>
      <c r="B53" s="30"/>
      <c r="C53" s="31"/>
      <c r="D53" s="31"/>
      <c r="E53" s="32" t="s">
        <v>113</v>
      </c>
      <c r="F53" s="31" t="s">
        <v>114</v>
      </c>
      <c r="G53" s="31" t="s">
        <v>57</v>
      </c>
      <c r="H53" s="31">
        <v>1911000</v>
      </c>
      <c r="I53" s="53"/>
      <c r="J53" s="54"/>
    </row>
    <row r="54" spans="1:10" x14ac:dyDescent="0.25">
      <c r="A54" s="29"/>
      <c r="B54" s="30"/>
      <c r="C54" s="31"/>
      <c r="D54" s="31" t="s">
        <v>64</v>
      </c>
      <c r="E54" s="32" t="s">
        <v>65</v>
      </c>
      <c r="F54" s="31" t="s">
        <v>66</v>
      </c>
      <c r="G54" s="31" t="s">
        <v>67</v>
      </c>
      <c r="H54" s="31">
        <v>156000</v>
      </c>
      <c r="I54" s="31"/>
      <c r="J54" s="45"/>
    </row>
    <row r="55" spans="1:10" x14ac:dyDescent="0.25">
      <c r="A55" s="29"/>
      <c r="B55" s="30"/>
      <c r="C55" s="31"/>
      <c r="D55" s="31"/>
      <c r="E55" s="32" t="s">
        <v>68</v>
      </c>
      <c r="F55" s="36" t="s">
        <v>69</v>
      </c>
      <c r="G55" s="31" t="s">
        <v>67</v>
      </c>
      <c r="H55" s="31">
        <v>136000</v>
      </c>
      <c r="I55" s="31">
        <v>11</v>
      </c>
      <c r="J55" s="45"/>
    </row>
    <row r="56" spans="1:10" ht="19.5" thickBot="1" x14ac:dyDescent="0.3">
      <c r="A56" s="37"/>
      <c r="B56" s="38"/>
      <c r="C56" s="39"/>
      <c r="D56" s="39"/>
      <c r="E56" s="40" t="s">
        <v>70</v>
      </c>
      <c r="F56" s="39" t="s">
        <v>71</v>
      </c>
      <c r="G56" s="39" t="s">
        <v>67</v>
      </c>
      <c r="H56" s="39">
        <v>132000</v>
      </c>
      <c r="I56" s="39"/>
      <c r="J56" s="55"/>
    </row>
    <row r="57" spans="1:10" x14ac:dyDescent="0.25">
      <c r="A57" s="23">
        <v>2.06</v>
      </c>
      <c r="B57" s="24" t="s">
        <v>115</v>
      </c>
      <c r="C57" s="25" t="s">
        <v>116</v>
      </c>
      <c r="D57" s="25" t="s">
        <v>117</v>
      </c>
      <c r="E57" s="26" t="s">
        <v>118</v>
      </c>
      <c r="F57" s="27" t="s">
        <v>119</v>
      </c>
      <c r="G57" s="25" t="s">
        <v>57</v>
      </c>
      <c r="H57" s="25">
        <v>2458000</v>
      </c>
      <c r="I57" s="52">
        <v>1</v>
      </c>
      <c r="J57" s="28">
        <f>SUMPRODUCT(H57:H61,I57:I61)</f>
        <v>3954000</v>
      </c>
    </row>
    <row r="58" spans="1:10" x14ac:dyDescent="0.25">
      <c r="A58" s="29"/>
      <c r="B58" s="30"/>
      <c r="C58" s="31"/>
      <c r="D58" s="31"/>
      <c r="E58" s="32" t="s">
        <v>120</v>
      </c>
      <c r="F58" s="31" t="s">
        <v>121</v>
      </c>
      <c r="G58" s="31" t="s">
        <v>57</v>
      </c>
      <c r="H58" s="31">
        <v>2728000</v>
      </c>
      <c r="I58" s="53"/>
      <c r="J58" s="54"/>
    </row>
    <row r="59" spans="1:10" x14ac:dyDescent="0.25">
      <c r="A59" s="29"/>
      <c r="B59" s="30"/>
      <c r="C59" s="31"/>
      <c r="D59" s="31" t="s">
        <v>64</v>
      </c>
      <c r="E59" s="32" t="s">
        <v>65</v>
      </c>
      <c r="F59" s="31" t="s">
        <v>66</v>
      </c>
      <c r="G59" s="31" t="s">
        <v>67</v>
      </c>
      <c r="H59" s="31">
        <v>156000</v>
      </c>
      <c r="I59" s="31"/>
      <c r="J59" s="45"/>
    </row>
    <row r="60" spans="1:10" x14ac:dyDescent="0.25">
      <c r="A60" s="29"/>
      <c r="B60" s="30"/>
      <c r="C60" s="31"/>
      <c r="D60" s="31"/>
      <c r="E60" s="32" t="s">
        <v>68</v>
      </c>
      <c r="F60" s="36" t="s">
        <v>69</v>
      </c>
      <c r="G60" s="31" t="s">
        <v>67</v>
      </c>
      <c r="H60" s="31">
        <v>136000</v>
      </c>
      <c r="I60" s="31">
        <v>11</v>
      </c>
      <c r="J60" s="45"/>
    </row>
    <row r="61" spans="1:10" ht="19.5" thickBot="1" x14ac:dyDescent="0.3">
      <c r="A61" s="37"/>
      <c r="B61" s="38"/>
      <c r="C61" s="39"/>
      <c r="D61" s="39"/>
      <c r="E61" s="40" t="s">
        <v>70</v>
      </c>
      <c r="F61" s="39" t="s">
        <v>71</v>
      </c>
      <c r="G61" s="39" t="s">
        <v>67</v>
      </c>
      <c r="H61" s="39">
        <v>132000</v>
      </c>
      <c r="I61" s="39"/>
      <c r="J61" s="55"/>
    </row>
    <row r="62" spans="1:10" x14ac:dyDescent="0.25">
      <c r="A62" s="29">
        <v>2.08</v>
      </c>
      <c r="B62" s="30" t="s">
        <v>122</v>
      </c>
      <c r="C62" s="18" t="s">
        <v>9</v>
      </c>
      <c r="D62" s="31" t="s">
        <v>123</v>
      </c>
      <c r="E62" s="32" t="s">
        <v>124</v>
      </c>
      <c r="F62" s="31" t="s">
        <v>125</v>
      </c>
      <c r="G62" s="31" t="s">
        <v>57</v>
      </c>
      <c r="H62" s="31">
        <v>719500</v>
      </c>
      <c r="I62" s="31"/>
      <c r="J62" s="28">
        <f>SUMPRODUCT(H62:H79,I62:I79)</f>
        <v>4895745</v>
      </c>
    </row>
    <row r="63" spans="1:10" x14ac:dyDescent="0.25">
      <c r="A63" s="29"/>
      <c r="B63" s="30"/>
      <c r="C63" s="18"/>
      <c r="D63" s="31"/>
      <c r="E63" s="32" t="s">
        <v>126</v>
      </c>
      <c r="F63" s="36" t="s">
        <v>127</v>
      </c>
      <c r="G63" s="31" t="s">
        <v>57</v>
      </c>
      <c r="H63" s="31">
        <v>718500</v>
      </c>
      <c r="I63" s="31">
        <v>1</v>
      </c>
      <c r="J63" s="44"/>
    </row>
    <row r="64" spans="1:10" x14ac:dyDescent="0.25">
      <c r="A64" s="29"/>
      <c r="B64" s="30"/>
      <c r="C64" s="18"/>
      <c r="D64" s="31"/>
      <c r="E64" s="32" t="s">
        <v>128</v>
      </c>
      <c r="F64" s="31" t="s">
        <v>129</v>
      </c>
      <c r="G64" s="31" t="s">
        <v>57</v>
      </c>
      <c r="H64" s="31">
        <v>781500</v>
      </c>
      <c r="I64" s="31"/>
      <c r="J64" s="44"/>
    </row>
    <row r="65" spans="1:10" x14ac:dyDescent="0.25">
      <c r="A65" s="29"/>
      <c r="B65" s="30"/>
      <c r="C65" s="18"/>
      <c r="D65" s="31" t="s">
        <v>130</v>
      </c>
      <c r="E65" s="32" t="s">
        <v>55</v>
      </c>
      <c r="F65" s="36" t="s">
        <v>56</v>
      </c>
      <c r="G65" s="31" t="s">
        <v>57</v>
      </c>
      <c r="H65" s="31">
        <v>1148000</v>
      </c>
      <c r="I65" s="31">
        <f>0.75</f>
        <v>0.75</v>
      </c>
      <c r="J65" s="44"/>
    </row>
    <row r="66" spans="1:10" x14ac:dyDescent="0.25">
      <c r="A66" s="29"/>
      <c r="B66" s="30"/>
      <c r="C66" s="18"/>
      <c r="D66" s="31"/>
      <c r="E66" s="32" t="s">
        <v>58</v>
      </c>
      <c r="F66" s="31" t="s">
        <v>59</v>
      </c>
      <c r="G66" s="31" t="s">
        <v>57</v>
      </c>
      <c r="H66" s="33">
        <v>1284000</v>
      </c>
      <c r="I66" s="31"/>
      <c r="J66" s="44"/>
    </row>
    <row r="67" spans="1:10" x14ac:dyDescent="0.25">
      <c r="A67" s="29"/>
      <c r="B67" s="30"/>
      <c r="C67" s="18"/>
      <c r="D67" s="31"/>
      <c r="E67" s="32" t="s">
        <v>60</v>
      </c>
      <c r="F67" s="31" t="s">
        <v>61</v>
      </c>
      <c r="G67" s="31" t="s">
        <v>57</v>
      </c>
      <c r="H67" s="33">
        <v>1470000</v>
      </c>
      <c r="I67" s="31"/>
      <c r="J67" s="44"/>
    </row>
    <row r="68" spans="1:10" x14ac:dyDescent="0.25">
      <c r="A68" s="29"/>
      <c r="B68" s="30"/>
      <c r="C68" s="18"/>
      <c r="D68" s="31"/>
      <c r="E68" s="32" t="s">
        <v>62</v>
      </c>
      <c r="F68" s="31" t="s">
        <v>63</v>
      </c>
      <c r="G68" s="31" t="s">
        <v>57</v>
      </c>
      <c r="H68" s="35">
        <v>1695000</v>
      </c>
      <c r="I68" s="31"/>
      <c r="J68" s="44"/>
    </row>
    <row r="69" spans="1:10" x14ac:dyDescent="0.25">
      <c r="A69" s="29"/>
      <c r="B69" s="30"/>
      <c r="C69" s="18"/>
      <c r="D69" s="31" t="s">
        <v>64</v>
      </c>
      <c r="E69" s="32" t="s">
        <v>65</v>
      </c>
      <c r="F69" s="31" t="s">
        <v>66</v>
      </c>
      <c r="G69" s="31" t="s">
        <v>67</v>
      </c>
      <c r="H69" s="31">
        <v>156000</v>
      </c>
      <c r="I69" s="31"/>
      <c r="J69" s="45"/>
    </row>
    <row r="70" spans="1:10" x14ac:dyDescent="0.25">
      <c r="A70" s="29"/>
      <c r="B70" s="21"/>
      <c r="C70" s="18"/>
      <c r="D70" s="31"/>
      <c r="E70" s="32" t="s">
        <v>68</v>
      </c>
      <c r="F70" s="36" t="s">
        <v>69</v>
      </c>
      <c r="G70" s="31" t="s">
        <v>67</v>
      </c>
      <c r="H70" s="31">
        <v>136000</v>
      </c>
      <c r="I70" s="31">
        <v>13.1</v>
      </c>
      <c r="J70" s="45"/>
    </row>
    <row r="71" spans="1:10" x14ac:dyDescent="0.25">
      <c r="A71" s="29"/>
      <c r="B71" s="21"/>
      <c r="C71" s="18"/>
      <c r="D71" s="31"/>
      <c r="E71" s="32" t="s">
        <v>70</v>
      </c>
      <c r="F71" s="31" t="s">
        <v>71</v>
      </c>
      <c r="G71" s="31" t="s">
        <v>67</v>
      </c>
      <c r="H71" s="31">
        <v>132000</v>
      </c>
      <c r="I71" s="31"/>
      <c r="J71" s="45"/>
    </row>
    <row r="72" spans="1:10" x14ac:dyDescent="0.25">
      <c r="A72" s="29"/>
      <c r="B72" s="21"/>
      <c r="C72" s="18"/>
      <c r="D72" s="31" t="s">
        <v>72</v>
      </c>
      <c r="E72" s="32" t="s">
        <v>73</v>
      </c>
      <c r="F72" s="35" t="s">
        <v>74</v>
      </c>
      <c r="G72" s="31" t="s">
        <v>75</v>
      </c>
      <c r="H72" s="31">
        <v>3949000</v>
      </c>
      <c r="I72" s="31"/>
      <c r="J72" s="45"/>
    </row>
    <row r="73" spans="1:10" x14ac:dyDescent="0.25">
      <c r="A73" s="29"/>
      <c r="B73" s="21"/>
      <c r="C73" s="18"/>
      <c r="D73" s="31"/>
      <c r="E73" s="32" t="s">
        <v>76</v>
      </c>
      <c r="F73" s="35" t="s">
        <v>77</v>
      </c>
      <c r="G73" s="31" t="s">
        <v>75</v>
      </c>
      <c r="H73" s="31">
        <v>4164000</v>
      </c>
      <c r="I73" s="31"/>
      <c r="J73" s="45"/>
    </row>
    <row r="74" spans="1:10" x14ac:dyDescent="0.25">
      <c r="A74" s="29"/>
      <c r="B74" s="21"/>
      <c r="C74" s="18"/>
      <c r="D74" s="30"/>
      <c r="E74" s="32" t="s">
        <v>79</v>
      </c>
      <c r="F74" s="31" t="s">
        <v>80</v>
      </c>
      <c r="G74" s="31" t="s">
        <v>75</v>
      </c>
      <c r="H74" s="31">
        <v>4256000</v>
      </c>
      <c r="I74" s="31"/>
      <c r="J74" s="45"/>
    </row>
    <row r="75" spans="1:10" x14ac:dyDescent="0.25">
      <c r="A75" s="29"/>
      <c r="B75" s="21"/>
      <c r="C75" s="18"/>
      <c r="D75" s="31"/>
      <c r="E75" s="32" t="s">
        <v>81</v>
      </c>
      <c r="F75" s="36" t="s">
        <v>82</v>
      </c>
      <c r="G75" s="31" t="s">
        <v>75</v>
      </c>
      <c r="H75" s="31">
        <v>4349000</v>
      </c>
      <c r="I75" s="31">
        <v>0.35</v>
      </c>
      <c r="J75" s="45"/>
    </row>
    <row r="76" spans="1:10" x14ac:dyDescent="0.25">
      <c r="A76" s="29"/>
      <c r="B76" s="21"/>
      <c r="C76" s="18"/>
      <c r="D76" s="31"/>
      <c r="E76" s="32" t="s">
        <v>83</v>
      </c>
      <c r="F76" s="31" t="s">
        <v>84</v>
      </c>
      <c r="G76" s="31" t="s">
        <v>75</v>
      </c>
      <c r="H76" s="31">
        <v>4470000</v>
      </c>
      <c r="I76" s="31"/>
      <c r="J76" s="45"/>
    </row>
    <row r="77" spans="1:10" x14ac:dyDescent="0.25">
      <c r="A77" s="29"/>
      <c r="B77" s="21"/>
      <c r="C77" s="18"/>
      <c r="D77" s="31"/>
      <c r="E77" s="32" t="s">
        <v>85</v>
      </c>
      <c r="F77" s="31" t="s">
        <v>86</v>
      </c>
      <c r="G77" s="31" t="s">
        <v>75</v>
      </c>
      <c r="H77" s="31">
        <v>4536000</v>
      </c>
      <c r="I77" s="31"/>
      <c r="J77" s="45"/>
    </row>
    <row r="78" spans="1:10" x14ac:dyDescent="0.25">
      <c r="A78" s="29"/>
      <c r="B78" s="21"/>
      <c r="C78" s="18"/>
      <c r="D78" s="31"/>
      <c r="E78" s="32" t="s">
        <v>87</v>
      </c>
      <c r="F78" s="31" t="s">
        <v>88</v>
      </c>
      <c r="G78" s="31" t="s">
        <v>75</v>
      </c>
      <c r="H78" s="31">
        <v>4673000</v>
      </c>
      <c r="I78" s="31"/>
      <c r="J78" s="45"/>
    </row>
    <row r="79" spans="1:10" ht="19.5" thickBot="1" x14ac:dyDescent="0.3">
      <c r="A79" s="37"/>
      <c r="B79" s="38"/>
      <c r="C79" s="39"/>
      <c r="D79" s="39"/>
      <c r="E79" s="40" t="s">
        <v>89</v>
      </c>
      <c r="F79" s="39" t="s">
        <v>90</v>
      </c>
      <c r="G79" s="39" t="s">
        <v>75</v>
      </c>
      <c r="H79" s="39">
        <v>35700</v>
      </c>
      <c r="I79" s="39">
        <v>0.35</v>
      </c>
      <c r="J79" s="55"/>
    </row>
    <row r="80" spans="1:10" x14ac:dyDescent="0.25">
      <c r="A80" s="23">
        <v>2.11</v>
      </c>
      <c r="B80" s="24" t="s">
        <v>131</v>
      </c>
      <c r="C80" s="25" t="s">
        <v>132</v>
      </c>
      <c r="D80" s="18" t="s">
        <v>133</v>
      </c>
      <c r="E80" s="19">
        <v>160706</v>
      </c>
      <c r="F80" s="18" t="s">
        <v>134</v>
      </c>
      <c r="G80" s="18" t="s">
        <v>67</v>
      </c>
      <c r="H80" s="18">
        <v>283000</v>
      </c>
      <c r="I80" s="19">
        <v>10</v>
      </c>
      <c r="J80" s="28">
        <f>SUMPRODUCT(H80:H92,I80:I92)</f>
        <v>4636120</v>
      </c>
    </row>
    <row r="81" spans="1:10" x14ac:dyDescent="0.25">
      <c r="A81" s="29"/>
      <c r="B81" s="30"/>
      <c r="C81" s="31"/>
      <c r="D81" s="31" t="s">
        <v>64</v>
      </c>
      <c r="E81" s="32" t="s">
        <v>65</v>
      </c>
      <c r="F81" s="31" t="s">
        <v>66</v>
      </c>
      <c r="G81" s="31" t="s">
        <v>67</v>
      </c>
      <c r="H81" s="31">
        <v>156000</v>
      </c>
      <c r="I81" s="31"/>
      <c r="J81" s="45"/>
    </row>
    <row r="82" spans="1:10" x14ac:dyDescent="0.25">
      <c r="A82" s="29"/>
      <c r="B82" s="30"/>
      <c r="C82" s="31"/>
      <c r="D82" s="31"/>
      <c r="E82" s="32" t="s">
        <v>68</v>
      </c>
      <c r="F82" s="36" t="s">
        <v>69</v>
      </c>
      <c r="G82" s="31" t="s">
        <v>67</v>
      </c>
      <c r="H82" s="31">
        <v>136000</v>
      </c>
      <c r="I82" s="31">
        <v>10</v>
      </c>
      <c r="J82" s="45"/>
    </row>
    <row r="83" spans="1:10" x14ac:dyDescent="0.25">
      <c r="A83" s="29"/>
      <c r="B83" s="30"/>
      <c r="C83" s="31"/>
      <c r="D83" s="31"/>
      <c r="E83" s="32" t="s">
        <v>70</v>
      </c>
      <c r="F83" s="31" t="s">
        <v>71</v>
      </c>
      <c r="G83" s="31" t="s">
        <v>67</v>
      </c>
      <c r="H83" s="31">
        <v>132000</v>
      </c>
      <c r="I83" s="31"/>
      <c r="J83" s="45"/>
    </row>
    <row r="84" spans="1:10" x14ac:dyDescent="0.25">
      <c r="A84" s="29"/>
      <c r="B84" s="30"/>
      <c r="C84" s="31"/>
      <c r="D84" s="31" t="s">
        <v>72</v>
      </c>
      <c r="E84" s="32" t="s">
        <v>73</v>
      </c>
      <c r="F84" s="35" t="s">
        <v>74</v>
      </c>
      <c r="G84" s="31" t="s">
        <v>75</v>
      </c>
      <c r="H84" s="31">
        <v>3949000</v>
      </c>
      <c r="I84" s="31"/>
      <c r="J84" s="45"/>
    </row>
    <row r="85" spans="1:10" x14ac:dyDescent="0.25">
      <c r="A85" s="29"/>
      <c r="B85" s="30"/>
      <c r="C85" s="31"/>
      <c r="D85" s="31"/>
      <c r="E85" s="32" t="s">
        <v>76</v>
      </c>
      <c r="F85" s="35" t="s">
        <v>77</v>
      </c>
      <c r="G85" s="31" t="s">
        <v>75</v>
      </c>
      <c r="H85" s="31">
        <v>4164000</v>
      </c>
      <c r="I85" s="31"/>
      <c r="J85" s="45"/>
    </row>
    <row r="86" spans="1:10" x14ac:dyDescent="0.25">
      <c r="A86" s="29"/>
      <c r="B86" s="30"/>
      <c r="C86" s="31"/>
      <c r="D86" s="30"/>
      <c r="E86" s="32" t="s">
        <v>79</v>
      </c>
      <c r="F86" s="31" t="s">
        <v>80</v>
      </c>
      <c r="G86" s="31" t="s">
        <v>75</v>
      </c>
      <c r="H86" s="31">
        <v>4256000</v>
      </c>
      <c r="I86" s="31"/>
      <c r="J86" s="45"/>
    </row>
    <row r="87" spans="1:10" x14ac:dyDescent="0.25">
      <c r="A87" s="29"/>
      <c r="B87" s="30"/>
      <c r="C87" s="31"/>
      <c r="D87" s="31"/>
      <c r="E87" s="32" t="s">
        <v>81</v>
      </c>
      <c r="F87" s="31" t="s">
        <v>82</v>
      </c>
      <c r="G87" s="31" t="s">
        <v>75</v>
      </c>
      <c r="H87" s="31">
        <v>4349000</v>
      </c>
      <c r="I87" s="31">
        <v>0.1</v>
      </c>
      <c r="J87" s="45"/>
    </row>
    <row r="88" spans="1:10" x14ac:dyDescent="0.25">
      <c r="A88" s="29"/>
      <c r="B88" s="30"/>
      <c r="C88" s="31"/>
      <c r="D88" s="31"/>
      <c r="E88" s="32" t="s">
        <v>83</v>
      </c>
      <c r="F88" s="31" t="s">
        <v>84</v>
      </c>
      <c r="G88" s="31" t="s">
        <v>75</v>
      </c>
      <c r="H88" s="31">
        <v>4470000</v>
      </c>
      <c r="I88" s="31"/>
      <c r="J88" s="45"/>
    </row>
    <row r="89" spans="1:10" x14ac:dyDescent="0.25">
      <c r="A89" s="29"/>
      <c r="B89" s="30"/>
      <c r="C89" s="31"/>
      <c r="D89" s="31"/>
      <c r="E89" s="32" t="s">
        <v>85</v>
      </c>
      <c r="F89" s="31" t="s">
        <v>86</v>
      </c>
      <c r="G89" s="31" t="s">
        <v>75</v>
      </c>
      <c r="H89" s="31">
        <v>4536000</v>
      </c>
      <c r="I89" s="31"/>
      <c r="J89" s="45"/>
    </row>
    <row r="90" spans="1:10" x14ac:dyDescent="0.25">
      <c r="A90" s="29"/>
      <c r="B90" s="30"/>
      <c r="C90" s="31"/>
      <c r="D90" s="31"/>
      <c r="E90" s="32" t="s">
        <v>87</v>
      </c>
      <c r="F90" s="31" t="s">
        <v>88</v>
      </c>
      <c r="G90" s="31" t="s">
        <v>75</v>
      </c>
      <c r="H90" s="31">
        <v>4673000</v>
      </c>
      <c r="I90" s="31"/>
      <c r="J90" s="45"/>
    </row>
    <row r="91" spans="1:10" x14ac:dyDescent="0.25">
      <c r="A91" s="29"/>
      <c r="B91" s="30"/>
      <c r="C91" s="31"/>
      <c r="D91" s="31"/>
      <c r="E91" s="32" t="s">
        <v>135</v>
      </c>
      <c r="F91" s="31" t="s">
        <v>136</v>
      </c>
      <c r="G91" s="31" t="s">
        <v>75</v>
      </c>
      <c r="H91" s="31">
        <v>76500</v>
      </c>
      <c r="I91" s="31">
        <v>0.1</v>
      </c>
      <c r="J91" s="45"/>
    </row>
    <row r="92" spans="1:10" ht="19.5" thickBot="1" x14ac:dyDescent="0.3">
      <c r="A92" s="37"/>
      <c r="B92" s="38"/>
      <c r="C92" s="39"/>
      <c r="D92" s="39"/>
      <c r="E92" s="40" t="s">
        <v>89</v>
      </c>
      <c r="F92" s="39" t="s">
        <v>90</v>
      </c>
      <c r="G92" s="39" t="s">
        <v>75</v>
      </c>
      <c r="H92" s="39">
        <v>35700</v>
      </c>
      <c r="I92" s="39">
        <v>0.1</v>
      </c>
      <c r="J92" s="55"/>
    </row>
    <row r="93" spans="1:10" x14ac:dyDescent="0.25">
      <c r="E93" s="5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8"/>
  <sheetViews>
    <sheetView rightToLeft="1" topLeftCell="D46" zoomScale="85" zoomScaleNormal="85" workbookViewId="0">
      <selection activeCell="E50" sqref="E50"/>
    </sheetView>
  </sheetViews>
  <sheetFormatPr defaultRowHeight="18.75" x14ac:dyDescent="0.25"/>
  <cols>
    <col min="1" max="1" width="9.140625" style="20"/>
    <col min="2" max="2" width="57" style="20" bestFit="1" customWidth="1"/>
    <col min="3" max="3" width="40.28515625" style="22" bestFit="1" customWidth="1"/>
    <col min="4" max="4" width="24.7109375" style="22" bestFit="1" customWidth="1"/>
    <col min="5" max="5" width="11.42578125" style="56" bestFit="1" customWidth="1"/>
    <col min="6" max="6" width="131" style="22" bestFit="1" customWidth="1"/>
    <col min="7" max="7" width="9.140625" style="22"/>
    <col min="8" max="8" width="13.42578125" style="22" bestFit="1" customWidth="1"/>
    <col min="9" max="10" width="9.140625" style="20"/>
    <col min="11" max="11" width="9.140625" style="135"/>
    <col min="12" max="12" width="9.140625" style="20"/>
    <col min="13" max="13" width="53.5703125" style="20" bestFit="1" customWidth="1"/>
    <col min="14" max="14" width="34.42578125" style="20" bestFit="1" customWidth="1"/>
    <col min="15" max="15" width="17.42578125" style="20" bestFit="1" customWidth="1"/>
    <col min="16" max="19" width="9.140625" style="20"/>
    <col min="20" max="20" width="21.85546875" style="20" bestFit="1" customWidth="1"/>
    <col min="21" max="21" width="19" style="20" bestFit="1" customWidth="1"/>
    <col min="22" max="22" width="9.140625" style="135"/>
    <col min="23" max="16384" width="9.140625" style="20"/>
  </cols>
  <sheetData>
    <row r="1" spans="1:21" ht="38.25" customHeight="1" x14ac:dyDescent="0.25">
      <c r="A1" s="59" t="s">
        <v>139</v>
      </c>
      <c r="B1" s="60" t="s">
        <v>140</v>
      </c>
      <c r="C1" s="1"/>
      <c r="D1" s="1"/>
      <c r="E1" s="1"/>
      <c r="F1" s="1"/>
      <c r="G1" s="1"/>
      <c r="H1" s="1"/>
      <c r="L1" s="59" t="s">
        <v>139</v>
      </c>
      <c r="M1" s="60" t="s">
        <v>140</v>
      </c>
      <c r="N1"/>
      <c r="O1" s="22"/>
      <c r="P1" s="22"/>
      <c r="Q1" s="22"/>
      <c r="R1" s="22"/>
      <c r="S1" s="22"/>
      <c r="T1" s="22"/>
      <c r="U1" s="22" t="s">
        <v>317</v>
      </c>
    </row>
    <row r="2" spans="1:21" ht="21.75" thickBot="1" x14ac:dyDescent="0.3">
      <c r="A2" s="20" t="s">
        <v>43</v>
      </c>
      <c r="B2" s="20" t="s">
        <v>44</v>
      </c>
      <c r="C2" s="22" t="s">
        <v>45</v>
      </c>
      <c r="D2" s="20" t="s">
        <v>46</v>
      </c>
      <c r="E2" s="22" t="s">
        <v>47</v>
      </c>
      <c r="F2" s="22" t="s">
        <v>48</v>
      </c>
      <c r="G2" s="22" t="s">
        <v>49</v>
      </c>
      <c r="H2" s="22" t="s">
        <v>50</v>
      </c>
      <c r="I2" s="22" t="s">
        <v>51</v>
      </c>
      <c r="J2" s="22" t="s">
        <v>52</v>
      </c>
      <c r="L2" s="102" t="s">
        <v>43</v>
      </c>
      <c r="M2" s="103" t="s">
        <v>44</v>
      </c>
      <c r="N2" s="124" t="s">
        <v>45</v>
      </c>
      <c r="O2" s="105" t="s">
        <v>318</v>
      </c>
      <c r="P2" s="105" t="s">
        <v>319</v>
      </c>
      <c r="Q2" s="105" t="s">
        <v>320</v>
      </c>
      <c r="R2" s="105" t="s">
        <v>321</v>
      </c>
      <c r="S2" s="105" t="s">
        <v>322</v>
      </c>
      <c r="T2" s="105" t="s">
        <v>323</v>
      </c>
      <c r="U2" s="104" t="s">
        <v>324</v>
      </c>
    </row>
    <row r="3" spans="1:21" x14ac:dyDescent="0.25">
      <c r="A3" s="61">
        <v>3.01</v>
      </c>
      <c r="B3" s="62" t="s">
        <v>141</v>
      </c>
      <c r="C3" s="63" t="s">
        <v>142</v>
      </c>
      <c r="D3" s="63" t="s">
        <v>143</v>
      </c>
      <c r="E3" s="64">
        <v>110201</v>
      </c>
      <c r="F3" s="64" t="s">
        <v>144</v>
      </c>
      <c r="G3" s="64" t="s">
        <v>75</v>
      </c>
      <c r="H3" s="64">
        <v>5780000</v>
      </c>
      <c r="I3" s="64"/>
      <c r="J3" s="65"/>
      <c r="L3" s="107">
        <v>3.01</v>
      </c>
      <c r="M3" s="107" t="s">
        <v>141</v>
      </c>
      <c r="N3" s="125" t="s">
        <v>142</v>
      </c>
      <c r="O3" s="109" t="s">
        <v>341</v>
      </c>
      <c r="P3" s="109">
        <v>0.18</v>
      </c>
      <c r="Q3" s="109">
        <v>1800</v>
      </c>
      <c r="R3" s="109">
        <f>P3*Q3</f>
        <v>324</v>
      </c>
      <c r="S3" s="109">
        <v>4.95</v>
      </c>
      <c r="T3" s="109">
        <f>R3*S3</f>
        <v>1603.8</v>
      </c>
      <c r="U3" s="108">
        <v>1616</v>
      </c>
    </row>
    <row r="4" spans="1:21" x14ac:dyDescent="0.25">
      <c r="A4" s="66"/>
      <c r="B4" s="67"/>
      <c r="C4" s="68"/>
      <c r="D4" s="69"/>
      <c r="E4" s="69">
        <v>110205</v>
      </c>
      <c r="F4" s="70" t="s">
        <v>145</v>
      </c>
      <c r="G4" s="69" t="s">
        <v>57</v>
      </c>
      <c r="H4" s="69">
        <v>1316000</v>
      </c>
      <c r="I4" s="69">
        <v>1</v>
      </c>
      <c r="J4" s="71"/>
      <c r="L4" s="111"/>
      <c r="M4" s="111"/>
      <c r="N4" s="126"/>
      <c r="O4" s="68" t="s">
        <v>147</v>
      </c>
      <c r="P4" s="68">
        <v>0.01</v>
      </c>
      <c r="Q4" s="68">
        <v>1600</v>
      </c>
      <c r="R4" s="68">
        <f>P4*Q4</f>
        <v>16</v>
      </c>
      <c r="S4" s="68">
        <v>1</v>
      </c>
      <c r="T4" s="68">
        <f>R4*S4</f>
        <v>16</v>
      </c>
      <c r="U4" s="112" t="s">
        <v>331</v>
      </c>
    </row>
    <row r="5" spans="1:21" x14ac:dyDescent="0.25">
      <c r="A5" s="66"/>
      <c r="B5" s="67"/>
      <c r="C5" s="68"/>
      <c r="D5" s="69"/>
      <c r="E5" s="69">
        <v>110208</v>
      </c>
      <c r="F5" s="69" t="s">
        <v>146</v>
      </c>
      <c r="G5" s="69" t="s">
        <v>57</v>
      </c>
      <c r="H5" s="69">
        <v>731000</v>
      </c>
      <c r="I5" s="69"/>
      <c r="J5" s="71"/>
      <c r="L5" s="111"/>
      <c r="M5" s="111"/>
      <c r="N5" s="126"/>
      <c r="O5" s="68" t="s">
        <v>342</v>
      </c>
      <c r="P5" s="68">
        <v>0.01</v>
      </c>
      <c r="Q5" s="68">
        <v>1000</v>
      </c>
      <c r="R5" s="68">
        <f>P5*Q5</f>
        <v>10</v>
      </c>
      <c r="S5" s="68">
        <v>1.99</v>
      </c>
      <c r="T5" s="68">
        <f>R5*S5</f>
        <v>19.899999999999999</v>
      </c>
      <c r="U5" s="112"/>
    </row>
    <row r="6" spans="1:21" x14ac:dyDescent="0.25">
      <c r="A6" s="66"/>
      <c r="B6" s="67"/>
      <c r="C6" s="68"/>
      <c r="D6" s="69" t="s">
        <v>147</v>
      </c>
      <c r="E6" s="69">
        <v>180201</v>
      </c>
      <c r="F6" s="70" t="s">
        <v>148</v>
      </c>
      <c r="G6" s="69" t="s">
        <v>57</v>
      </c>
      <c r="H6" s="69">
        <v>67200</v>
      </c>
      <c r="I6" s="69">
        <v>2</v>
      </c>
      <c r="J6" s="71"/>
      <c r="L6" s="114"/>
      <c r="M6" s="114"/>
      <c r="N6" s="127"/>
      <c r="O6" s="116" t="s">
        <v>152</v>
      </c>
      <c r="P6" s="116"/>
      <c r="Q6" s="116"/>
      <c r="R6" s="116"/>
      <c r="S6" s="116"/>
      <c r="T6" s="116">
        <f>SUM(T3:T5)</f>
        <v>1639.7</v>
      </c>
      <c r="U6" s="115"/>
    </row>
    <row r="7" spans="1:21" x14ac:dyDescent="0.25">
      <c r="A7" s="66"/>
      <c r="B7" s="67"/>
      <c r="C7" s="68"/>
      <c r="D7" s="69"/>
      <c r="E7" s="69">
        <v>180202</v>
      </c>
      <c r="F7" s="70" t="s">
        <v>149</v>
      </c>
      <c r="G7" s="69" t="s">
        <v>57</v>
      </c>
      <c r="H7" s="69">
        <v>206000</v>
      </c>
      <c r="I7" s="69">
        <v>2</v>
      </c>
      <c r="J7" s="71"/>
      <c r="L7" s="107">
        <v>3.02</v>
      </c>
      <c r="M7" s="107" t="s">
        <v>153</v>
      </c>
      <c r="N7" s="125" t="s">
        <v>154</v>
      </c>
      <c r="O7" s="109" t="s">
        <v>343</v>
      </c>
      <c r="P7" s="109">
        <v>0.18</v>
      </c>
      <c r="Q7" s="109">
        <v>1800</v>
      </c>
      <c r="R7" s="118">
        <f>P7*Q7*0.5</f>
        <v>162</v>
      </c>
      <c r="S7" s="109">
        <v>4.95</v>
      </c>
      <c r="T7" s="109">
        <f>R7*S7</f>
        <v>801.9</v>
      </c>
      <c r="U7" s="108">
        <v>814</v>
      </c>
    </row>
    <row r="8" spans="1:21" x14ac:dyDescent="0.25">
      <c r="A8" s="66"/>
      <c r="B8" s="67"/>
      <c r="C8" s="68"/>
      <c r="D8" s="69" t="s">
        <v>150</v>
      </c>
      <c r="E8" s="69">
        <v>180215</v>
      </c>
      <c r="F8" s="70" t="s">
        <v>151</v>
      </c>
      <c r="G8" s="69" t="s">
        <v>57</v>
      </c>
      <c r="H8" s="69">
        <v>190500</v>
      </c>
      <c r="I8" s="69">
        <v>2</v>
      </c>
      <c r="J8" s="71"/>
      <c r="L8" s="111"/>
      <c r="M8" s="111"/>
      <c r="N8" s="126"/>
      <c r="O8" s="68" t="s">
        <v>147</v>
      </c>
      <c r="P8" s="68">
        <v>0.01</v>
      </c>
      <c r="Q8" s="68">
        <v>1600</v>
      </c>
      <c r="R8" s="68">
        <f>P8*Q8</f>
        <v>16</v>
      </c>
      <c r="S8" s="68">
        <v>1</v>
      </c>
      <c r="T8" s="68">
        <f>R8*S8</f>
        <v>16</v>
      </c>
      <c r="U8" s="112" t="s">
        <v>331</v>
      </c>
    </row>
    <row r="9" spans="1:21" ht="19.5" thickBot="1" x14ac:dyDescent="0.3">
      <c r="A9" s="72"/>
      <c r="B9" s="73"/>
      <c r="C9" s="74"/>
      <c r="D9" s="75"/>
      <c r="E9" s="75"/>
      <c r="F9" s="75" t="s">
        <v>152</v>
      </c>
      <c r="G9" s="75" t="s">
        <v>57</v>
      </c>
      <c r="H9" s="76">
        <f>SUMPRODUCT(H3:H8,I3:I8)</f>
        <v>2243400</v>
      </c>
      <c r="I9" s="75"/>
      <c r="J9" s="77"/>
      <c r="L9" s="111"/>
      <c r="M9" s="111"/>
      <c r="N9" s="126"/>
      <c r="O9" s="68" t="s">
        <v>342</v>
      </c>
      <c r="P9" s="68">
        <v>0.01</v>
      </c>
      <c r="Q9" s="68">
        <v>1000</v>
      </c>
      <c r="R9" s="68">
        <f>P9*Q9</f>
        <v>10</v>
      </c>
      <c r="S9" s="68">
        <v>1.99</v>
      </c>
      <c r="T9" s="68">
        <f>R9*S9</f>
        <v>19.899999999999999</v>
      </c>
      <c r="U9" s="112"/>
    </row>
    <row r="10" spans="1:21" x14ac:dyDescent="0.25">
      <c r="A10" s="61">
        <v>3.02</v>
      </c>
      <c r="B10" s="62" t="s">
        <v>153</v>
      </c>
      <c r="C10" s="63" t="s">
        <v>154</v>
      </c>
      <c r="D10" s="64" t="s">
        <v>155</v>
      </c>
      <c r="E10" s="64">
        <v>110501</v>
      </c>
      <c r="F10" s="64" t="s">
        <v>156</v>
      </c>
      <c r="G10" s="64" t="s">
        <v>75</v>
      </c>
      <c r="H10" s="64">
        <v>6943000</v>
      </c>
      <c r="I10" s="78"/>
      <c r="J10" s="65"/>
      <c r="L10" s="114"/>
      <c r="M10" s="114"/>
      <c r="N10" s="127"/>
      <c r="O10" s="116" t="s">
        <v>152</v>
      </c>
      <c r="P10" s="116"/>
      <c r="Q10" s="116"/>
      <c r="R10" s="116"/>
      <c r="S10" s="116"/>
      <c r="T10" s="116">
        <f>SUM(T7:T9)</f>
        <v>837.8</v>
      </c>
      <c r="U10" s="115"/>
    </row>
    <row r="11" spans="1:21" x14ac:dyDescent="0.25">
      <c r="A11" s="66"/>
      <c r="B11" s="67"/>
      <c r="C11" s="68"/>
      <c r="D11" s="69"/>
      <c r="E11" s="69">
        <v>110502</v>
      </c>
      <c r="F11" s="70" t="s">
        <v>157</v>
      </c>
      <c r="G11" s="69" t="s">
        <v>57</v>
      </c>
      <c r="H11" s="69">
        <v>1607000</v>
      </c>
      <c r="I11" s="79">
        <v>1</v>
      </c>
      <c r="J11" s="71"/>
      <c r="L11" s="107">
        <v>3.03</v>
      </c>
      <c r="M11" s="107" t="s">
        <v>159</v>
      </c>
      <c r="N11" s="125" t="s">
        <v>160</v>
      </c>
      <c r="O11" s="109" t="s">
        <v>344</v>
      </c>
      <c r="P11" s="109">
        <v>0.16</v>
      </c>
      <c r="Q11" s="109">
        <v>815</v>
      </c>
      <c r="R11" s="128">
        <f>P11*Q11</f>
        <v>130.4</v>
      </c>
      <c r="S11" s="109">
        <v>2.02</v>
      </c>
      <c r="T11" s="109">
        <f>R11*S11</f>
        <v>263.40800000000002</v>
      </c>
      <c r="U11" s="108">
        <v>338</v>
      </c>
    </row>
    <row r="12" spans="1:21" x14ac:dyDescent="0.25">
      <c r="A12" s="66"/>
      <c r="B12" s="67"/>
      <c r="C12" s="68"/>
      <c r="D12" s="69"/>
      <c r="E12" s="69">
        <v>110503</v>
      </c>
      <c r="F12" s="69" t="s">
        <v>158</v>
      </c>
      <c r="G12" s="69" t="s">
        <v>57</v>
      </c>
      <c r="H12" s="69">
        <v>866500</v>
      </c>
      <c r="I12" s="79"/>
      <c r="J12" s="71"/>
      <c r="L12" s="111"/>
      <c r="M12" s="111"/>
      <c r="N12" s="126"/>
      <c r="O12" s="68" t="s">
        <v>147</v>
      </c>
      <c r="P12" s="68">
        <v>0.02</v>
      </c>
      <c r="Q12" s="68">
        <v>1600</v>
      </c>
      <c r="R12" s="68">
        <f>P12*Q12</f>
        <v>32</v>
      </c>
      <c r="S12" s="68">
        <v>1</v>
      </c>
      <c r="T12" s="68">
        <f>R12*S12</f>
        <v>32</v>
      </c>
      <c r="U12" s="112" t="s">
        <v>331</v>
      </c>
    </row>
    <row r="13" spans="1:21" x14ac:dyDescent="0.25">
      <c r="A13" s="66"/>
      <c r="B13" s="67"/>
      <c r="C13" s="68"/>
      <c r="D13" s="69" t="s">
        <v>147</v>
      </c>
      <c r="E13" s="69">
        <v>180201</v>
      </c>
      <c r="F13" s="70" t="s">
        <v>148</v>
      </c>
      <c r="G13" s="69" t="s">
        <v>57</v>
      </c>
      <c r="H13" s="69">
        <v>67200</v>
      </c>
      <c r="I13" s="79">
        <v>2</v>
      </c>
      <c r="J13" s="71"/>
      <c r="L13" s="111"/>
      <c r="M13" s="111"/>
      <c r="N13" s="126"/>
      <c r="O13" s="68" t="s">
        <v>342</v>
      </c>
      <c r="P13" s="68">
        <v>0.02</v>
      </c>
      <c r="Q13" s="68">
        <v>1000</v>
      </c>
      <c r="R13" s="68">
        <f>P13*Q13</f>
        <v>20</v>
      </c>
      <c r="S13" s="68">
        <v>1.99</v>
      </c>
      <c r="T13" s="68">
        <f>R13*S13</f>
        <v>39.799999999999997</v>
      </c>
      <c r="U13" s="112"/>
    </row>
    <row r="14" spans="1:21" x14ac:dyDescent="0.25">
      <c r="A14" s="66"/>
      <c r="B14" s="67"/>
      <c r="C14" s="68"/>
      <c r="D14" s="69"/>
      <c r="E14" s="69">
        <v>180202</v>
      </c>
      <c r="F14" s="70" t="s">
        <v>149</v>
      </c>
      <c r="G14" s="69" t="s">
        <v>57</v>
      </c>
      <c r="H14" s="69">
        <v>206000</v>
      </c>
      <c r="I14" s="79">
        <v>2</v>
      </c>
      <c r="J14" s="71"/>
      <c r="L14" s="114"/>
      <c r="M14" s="114"/>
      <c r="N14" s="127"/>
      <c r="O14" s="116" t="s">
        <v>152</v>
      </c>
      <c r="P14" s="116"/>
      <c r="Q14" s="116"/>
      <c r="R14" s="116"/>
      <c r="S14" s="116"/>
      <c r="T14" s="116">
        <f>SUM(T11:T13)</f>
        <v>335.20800000000003</v>
      </c>
      <c r="U14" s="115"/>
    </row>
    <row r="15" spans="1:21" x14ac:dyDescent="0.25">
      <c r="A15" s="66"/>
      <c r="B15" s="67"/>
      <c r="C15" s="68"/>
      <c r="D15" s="69" t="s">
        <v>150</v>
      </c>
      <c r="E15" s="69">
        <v>180215</v>
      </c>
      <c r="F15" s="70" t="s">
        <v>151</v>
      </c>
      <c r="G15" s="69" t="s">
        <v>57</v>
      </c>
      <c r="H15" s="69">
        <v>190500</v>
      </c>
      <c r="I15" s="79">
        <v>2</v>
      </c>
      <c r="J15" s="71"/>
      <c r="L15" s="107">
        <v>3.04</v>
      </c>
      <c r="M15" s="107" t="s">
        <v>165</v>
      </c>
      <c r="N15" s="125" t="s">
        <v>166</v>
      </c>
      <c r="O15" s="109" t="s">
        <v>345</v>
      </c>
      <c r="P15" s="109">
        <v>0.16</v>
      </c>
      <c r="Q15" s="109">
        <v>1606</v>
      </c>
      <c r="R15" s="128">
        <f>P15*Q15</f>
        <v>256.95999999999998</v>
      </c>
      <c r="S15" s="109">
        <v>0.66</v>
      </c>
      <c r="T15" s="109">
        <f>R15*S15</f>
        <v>169.59359999999998</v>
      </c>
      <c r="U15" s="108">
        <v>234</v>
      </c>
    </row>
    <row r="16" spans="1:21" ht="19.5" thickBot="1" x14ac:dyDescent="0.3">
      <c r="A16" s="72"/>
      <c r="B16" s="73"/>
      <c r="C16" s="74"/>
      <c r="D16" s="75"/>
      <c r="E16" s="75"/>
      <c r="F16" s="75" t="s">
        <v>152</v>
      </c>
      <c r="G16" s="75" t="s">
        <v>57</v>
      </c>
      <c r="H16" s="76">
        <f>SUMPRODUCT(H10:H15,I10:I15)</f>
        <v>2534400</v>
      </c>
      <c r="I16" s="80"/>
      <c r="J16" s="77"/>
      <c r="L16" s="111"/>
      <c r="M16" s="111"/>
      <c r="N16" s="126"/>
      <c r="O16" s="68" t="s">
        <v>147</v>
      </c>
      <c r="P16" s="68">
        <v>0.02</v>
      </c>
      <c r="Q16" s="68">
        <v>1600</v>
      </c>
      <c r="R16" s="68">
        <f>P16*Q16</f>
        <v>32</v>
      </c>
      <c r="S16" s="68">
        <v>1</v>
      </c>
      <c r="T16" s="68">
        <f>R16*S16</f>
        <v>32</v>
      </c>
      <c r="U16" s="112" t="s">
        <v>331</v>
      </c>
    </row>
    <row r="17" spans="1:22" x14ac:dyDescent="0.25">
      <c r="A17" s="61">
        <v>3.03</v>
      </c>
      <c r="B17" s="62" t="s">
        <v>159</v>
      </c>
      <c r="C17" s="63" t="s">
        <v>160</v>
      </c>
      <c r="D17" s="64" t="s">
        <v>161</v>
      </c>
      <c r="E17" s="64">
        <v>110401</v>
      </c>
      <c r="F17" s="64" t="s">
        <v>162</v>
      </c>
      <c r="G17" s="64" t="s">
        <v>75</v>
      </c>
      <c r="H17" s="64">
        <v>5690000</v>
      </c>
      <c r="I17" s="78"/>
      <c r="J17" s="65"/>
      <c r="L17" s="111"/>
      <c r="M17" s="111"/>
      <c r="N17" s="126"/>
      <c r="O17" s="68" t="s">
        <v>342</v>
      </c>
      <c r="P17" s="68">
        <v>0.02</v>
      </c>
      <c r="Q17" s="68">
        <v>1000</v>
      </c>
      <c r="R17" s="68">
        <f>P17*Q17</f>
        <v>20</v>
      </c>
      <c r="S17" s="68">
        <v>1.99</v>
      </c>
      <c r="T17" s="68">
        <f>R17*S17</f>
        <v>39.799999999999997</v>
      </c>
      <c r="U17" s="112"/>
    </row>
    <row r="18" spans="1:22" x14ac:dyDescent="0.25">
      <c r="A18" s="66"/>
      <c r="B18" s="67"/>
      <c r="C18" s="68"/>
      <c r="D18" s="69"/>
      <c r="E18" s="69">
        <v>110402</v>
      </c>
      <c r="F18" s="70" t="s">
        <v>163</v>
      </c>
      <c r="G18" s="69" t="s">
        <v>75</v>
      </c>
      <c r="H18" s="69">
        <v>5419000</v>
      </c>
      <c r="I18" s="81">
        <v>0.2</v>
      </c>
      <c r="J18" s="71"/>
      <c r="L18" s="114"/>
      <c r="M18" s="114"/>
      <c r="N18" s="127"/>
      <c r="O18" s="116" t="s">
        <v>152</v>
      </c>
      <c r="P18" s="116"/>
      <c r="Q18" s="116"/>
      <c r="R18" s="116"/>
      <c r="S18" s="116"/>
      <c r="T18" s="116">
        <f>SUM(T15:T17)</f>
        <v>241.39359999999999</v>
      </c>
      <c r="U18" s="115"/>
    </row>
    <row r="19" spans="1:22" x14ac:dyDescent="0.25">
      <c r="A19" s="66"/>
      <c r="B19" s="67"/>
      <c r="C19" s="68"/>
      <c r="D19" s="69"/>
      <c r="E19" s="69">
        <v>110403</v>
      </c>
      <c r="F19" s="69" t="s">
        <v>164</v>
      </c>
      <c r="G19" s="69" t="s">
        <v>75</v>
      </c>
      <c r="H19" s="69">
        <v>5329000</v>
      </c>
      <c r="I19" s="79"/>
      <c r="J19" s="71"/>
      <c r="L19" s="107">
        <v>3.06</v>
      </c>
      <c r="M19" s="107" t="s">
        <v>171</v>
      </c>
      <c r="N19" s="125" t="s">
        <v>172</v>
      </c>
      <c r="O19" s="109" t="s">
        <v>346</v>
      </c>
      <c r="P19" s="109">
        <v>0.16</v>
      </c>
      <c r="Q19" s="109">
        <v>471</v>
      </c>
      <c r="R19" s="128">
        <f>P19*Q19</f>
        <v>75.36</v>
      </c>
      <c r="S19" s="109">
        <v>3.54</v>
      </c>
      <c r="T19" s="109">
        <f>R19*S19</f>
        <v>266.77440000000001</v>
      </c>
      <c r="U19" s="108">
        <v>317</v>
      </c>
    </row>
    <row r="20" spans="1:22" x14ac:dyDescent="0.25">
      <c r="A20" s="66"/>
      <c r="B20" s="67"/>
      <c r="C20" s="68"/>
      <c r="D20" s="69" t="s">
        <v>147</v>
      </c>
      <c r="E20" s="69">
        <v>180201</v>
      </c>
      <c r="F20" s="70" t="s">
        <v>148</v>
      </c>
      <c r="G20" s="69" t="s">
        <v>57</v>
      </c>
      <c r="H20" s="69">
        <v>67200</v>
      </c>
      <c r="I20" s="79">
        <v>2</v>
      </c>
      <c r="J20" s="71"/>
      <c r="L20" s="111"/>
      <c r="M20" s="111"/>
      <c r="N20" s="126"/>
      <c r="O20" s="68" t="s">
        <v>147</v>
      </c>
      <c r="P20" s="68">
        <v>0.02</v>
      </c>
      <c r="Q20" s="68">
        <v>1600</v>
      </c>
      <c r="R20" s="68">
        <f>P20*Q20</f>
        <v>32</v>
      </c>
      <c r="S20" s="68">
        <v>1</v>
      </c>
      <c r="T20" s="68">
        <f>R20*S20</f>
        <v>32</v>
      </c>
      <c r="U20" s="112" t="s">
        <v>331</v>
      </c>
    </row>
    <row r="21" spans="1:22" x14ac:dyDescent="0.25">
      <c r="A21" s="66"/>
      <c r="B21" s="67"/>
      <c r="C21" s="68"/>
      <c r="D21" s="69"/>
      <c r="E21" s="69">
        <v>180202</v>
      </c>
      <c r="F21" s="70" t="s">
        <v>149</v>
      </c>
      <c r="G21" s="69" t="s">
        <v>57</v>
      </c>
      <c r="H21" s="69">
        <v>206000</v>
      </c>
      <c r="I21" s="79">
        <v>2</v>
      </c>
      <c r="J21" s="71"/>
      <c r="L21" s="111"/>
      <c r="M21" s="111"/>
      <c r="N21" s="126"/>
      <c r="O21" s="68" t="s">
        <v>342</v>
      </c>
      <c r="P21" s="68">
        <v>0.02</v>
      </c>
      <c r="Q21" s="68">
        <v>1000</v>
      </c>
      <c r="R21" s="68">
        <f>P21*Q21</f>
        <v>20</v>
      </c>
      <c r="S21" s="68">
        <v>1.99</v>
      </c>
      <c r="T21" s="68">
        <f>R21*S21</f>
        <v>39.799999999999997</v>
      </c>
      <c r="U21" s="112"/>
    </row>
    <row r="22" spans="1:22" x14ac:dyDescent="0.25">
      <c r="A22" s="66"/>
      <c r="B22" s="67"/>
      <c r="C22" s="68"/>
      <c r="D22" s="69" t="s">
        <v>150</v>
      </c>
      <c r="E22" s="69">
        <v>180215</v>
      </c>
      <c r="F22" s="70" t="s">
        <v>151</v>
      </c>
      <c r="G22" s="69" t="s">
        <v>57</v>
      </c>
      <c r="H22" s="69">
        <v>190500</v>
      </c>
      <c r="I22" s="79">
        <v>2</v>
      </c>
      <c r="J22" s="71"/>
      <c r="L22" s="114"/>
      <c r="M22" s="114"/>
      <c r="N22" s="127"/>
      <c r="O22" s="116" t="s">
        <v>152</v>
      </c>
      <c r="P22" s="116"/>
      <c r="Q22" s="116"/>
      <c r="R22" s="116"/>
      <c r="S22" s="116"/>
      <c r="T22" s="116">
        <f>SUM(T19:T21)</f>
        <v>338.57440000000003</v>
      </c>
      <c r="U22" s="115"/>
    </row>
    <row r="23" spans="1:22" ht="19.5" thickBot="1" x14ac:dyDescent="0.3">
      <c r="A23" s="72"/>
      <c r="B23" s="73"/>
      <c r="C23" s="74"/>
      <c r="D23" s="75"/>
      <c r="E23" s="75"/>
      <c r="F23" s="75" t="s">
        <v>152</v>
      </c>
      <c r="G23" s="75" t="s">
        <v>57</v>
      </c>
      <c r="H23" s="76">
        <f>SUMPRODUCT(H17:H22,I17:I22)</f>
        <v>2011200</v>
      </c>
      <c r="I23" s="80"/>
      <c r="J23" s="77"/>
      <c r="L23" s="107">
        <v>3.11</v>
      </c>
      <c r="M23" s="107" t="s">
        <v>347</v>
      </c>
      <c r="N23" s="125" t="s">
        <v>348</v>
      </c>
      <c r="O23" s="109" t="s">
        <v>349</v>
      </c>
      <c r="P23" s="109">
        <v>0.15</v>
      </c>
      <c r="Q23" s="109" t="s">
        <v>327</v>
      </c>
      <c r="R23" s="109" t="s">
        <v>327</v>
      </c>
      <c r="S23" s="109" t="s">
        <v>327</v>
      </c>
      <c r="T23" s="109">
        <v>481</v>
      </c>
      <c r="U23" s="108">
        <v>481</v>
      </c>
    </row>
    <row r="24" spans="1:22" x14ac:dyDescent="0.25">
      <c r="A24" s="61">
        <v>3.04</v>
      </c>
      <c r="B24" s="62" t="s">
        <v>165</v>
      </c>
      <c r="C24" s="63" t="s">
        <v>166</v>
      </c>
      <c r="D24" s="64" t="s">
        <v>167</v>
      </c>
      <c r="E24" s="64">
        <v>121001</v>
      </c>
      <c r="F24" s="64" t="s">
        <v>168</v>
      </c>
      <c r="G24" s="64" t="s">
        <v>57</v>
      </c>
      <c r="H24" s="64">
        <v>861500</v>
      </c>
      <c r="I24" s="64"/>
      <c r="J24" s="65"/>
      <c r="L24" s="111"/>
      <c r="M24" s="111"/>
      <c r="N24" s="126"/>
      <c r="O24" s="68" t="s">
        <v>342</v>
      </c>
      <c r="P24" s="68">
        <v>0.01</v>
      </c>
      <c r="Q24" s="68">
        <v>1000</v>
      </c>
      <c r="R24" s="68">
        <f>P24*Q24</f>
        <v>10</v>
      </c>
      <c r="S24" s="68">
        <v>1.99</v>
      </c>
      <c r="T24" s="68">
        <f>R24*S24</f>
        <v>19.899999999999999</v>
      </c>
      <c r="U24" s="112" t="s">
        <v>350</v>
      </c>
    </row>
    <row r="25" spans="1:22" x14ac:dyDescent="0.25">
      <c r="A25" s="66"/>
      <c r="B25" s="67"/>
      <c r="C25" s="68"/>
      <c r="D25" s="69"/>
      <c r="E25" s="69">
        <v>121002</v>
      </c>
      <c r="F25" s="69" t="s">
        <v>169</v>
      </c>
      <c r="G25" s="69" t="s">
        <v>57</v>
      </c>
      <c r="H25" s="69">
        <v>1046000</v>
      </c>
      <c r="I25" s="69"/>
      <c r="J25" s="71"/>
      <c r="L25" s="111"/>
      <c r="M25" s="111"/>
      <c r="N25" s="126"/>
      <c r="O25" s="68"/>
      <c r="P25" s="68"/>
      <c r="Q25" s="68"/>
      <c r="R25" s="68"/>
      <c r="S25" s="68"/>
      <c r="T25" s="68"/>
      <c r="U25" s="112"/>
      <c r="V25" s="134"/>
    </row>
    <row r="26" spans="1:22" x14ac:dyDescent="0.25">
      <c r="A26" s="66"/>
      <c r="B26" s="67"/>
      <c r="C26" s="68"/>
      <c r="D26" s="69"/>
      <c r="E26" s="69">
        <v>121003</v>
      </c>
      <c r="F26" s="70" t="s">
        <v>170</v>
      </c>
      <c r="G26" s="69" t="s">
        <v>57</v>
      </c>
      <c r="H26" s="69">
        <v>1270000</v>
      </c>
      <c r="I26" s="69">
        <v>1</v>
      </c>
      <c r="J26" s="71"/>
      <c r="L26" s="114"/>
      <c r="M26" s="114"/>
      <c r="N26" s="127"/>
      <c r="O26" s="116" t="s">
        <v>152</v>
      </c>
      <c r="P26" s="116"/>
      <c r="Q26" s="116"/>
      <c r="R26" s="116"/>
      <c r="S26" s="116"/>
      <c r="T26" s="116"/>
      <c r="U26" s="115"/>
      <c r="V26" s="134"/>
    </row>
    <row r="27" spans="1:22" x14ac:dyDescent="0.25">
      <c r="A27" s="66"/>
      <c r="B27" s="67"/>
      <c r="C27" s="68"/>
      <c r="D27" s="69" t="s">
        <v>147</v>
      </c>
      <c r="E27" s="69">
        <v>180201</v>
      </c>
      <c r="F27" s="70" t="s">
        <v>148</v>
      </c>
      <c r="G27" s="69" t="s">
        <v>57</v>
      </c>
      <c r="H27" s="69">
        <v>67200</v>
      </c>
      <c r="I27" s="69">
        <v>2</v>
      </c>
      <c r="J27" s="71"/>
      <c r="L27" s="107">
        <v>3.39</v>
      </c>
      <c r="M27" s="107" t="s">
        <v>190</v>
      </c>
      <c r="N27" s="125" t="s">
        <v>384</v>
      </c>
      <c r="O27" s="109" t="s">
        <v>353</v>
      </c>
      <c r="P27" s="109">
        <v>0.02</v>
      </c>
      <c r="Q27" s="109">
        <v>840</v>
      </c>
      <c r="R27" s="128">
        <f>P27*Q27</f>
        <v>16.8</v>
      </c>
      <c r="S27" s="109">
        <v>4.0999999999999996</v>
      </c>
      <c r="T27" s="128">
        <f>R27*S27</f>
        <v>68.88</v>
      </c>
      <c r="U27" s="108">
        <v>259</v>
      </c>
      <c r="V27" s="134"/>
    </row>
    <row r="28" spans="1:22" x14ac:dyDescent="0.25">
      <c r="A28" s="66"/>
      <c r="B28" s="67"/>
      <c r="C28" s="68"/>
      <c r="D28" s="69"/>
      <c r="E28" s="69">
        <v>180202</v>
      </c>
      <c r="F28" s="70" t="s">
        <v>149</v>
      </c>
      <c r="G28" s="69" t="s">
        <v>57</v>
      </c>
      <c r="H28" s="69">
        <v>206000</v>
      </c>
      <c r="I28" s="69">
        <v>2</v>
      </c>
      <c r="J28" s="71"/>
      <c r="L28" s="111"/>
      <c r="M28" s="111"/>
      <c r="N28" s="126"/>
      <c r="O28" s="68" t="s">
        <v>354</v>
      </c>
      <c r="P28" s="68" t="s">
        <v>327</v>
      </c>
      <c r="Q28" s="68" t="s">
        <v>327</v>
      </c>
      <c r="R28" s="68">
        <v>10</v>
      </c>
      <c r="S28" s="68">
        <v>19.2</v>
      </c>
      <c r="T28" s="31">
        <f>R28*S28</f>
        <v>192</v>
      </c>
      <c r="U28" s="112" t="s">
        <v>331</v>
      </c>
      <c r="V28" s="134"/>
    </row>
    <row r="29" spans="1:22" x14ac:dyDescent="0.25">
      <c r="A29" s="66"/>
      <c r="B29" s="67"/>
      <c r="C29" s="68"/>
      <c r="D29" s="69" t="s">
        <v>150</v>
      </c>
      <c r="E29" s="69">
        <v>180215</v>
      </c>
      <c r="F29" s="70" t="s">
        <v>151</v>
      </c>
      <c r="G29" s="69" t="s">
        <v>57</v>
      </c>
      <c r="H29" s="69">
        <v>190500</v>
      </c>
      <c r="I29" s="69">
        <v>2</v>
      </c>
      <c r="J29" s="71"/>
      <c r="L29" s="111"/>
      <c r="M29" s="111"/>
      <c r="N29" s="126"/>
      <c r="O29" s="68" t="s">
        <v>355</v>
      </c>
      <c r="P29" s="68">
        <v>0.2</v>
      </c>
      <c r="Q29" s="68">
        <v>31</v>
      </c>
      <c r="R29" s="31">
        <f>P29*Q29</f>
        <v>6.2</v>
      </c>
      <c r="S29" s="68">
        <v>19.100000000000001</v>
      </c>
      <c r="T29" s="31">
        <f>R29*S29</f>
        <v>118.42000000000002</v>
      </c>
      <c r="U29" s="112"/>
      <c r="V29" s="134"/>
    </row>
    <row r="30" spans="1:22" ht="19.5" thickBot="1" x14ac:dyDescent="0.3">
      <c r="A30" s="72"/>
      <c r="B30" s="73"/>
      <c r="C30" s="74"/>
      <c r="D30" s="75"/>
      <c r="E30" s="75"/>
      <c r="F30" s="75" t="s">
        <v>152</v>
      </c>
      <c r="G30" s="75" t="s">
        <v>57</v>
      </c>
      <c r="H30" s="76">
        <f>SUMPRODUCT(H24:H29,I24:I29)</f>
        <v>2197400</v>
      </c>
      <c r="I30" s="75"/>
      <c r="J30" s="77"/>
      <c r="L30" s="114"/>
      <c r="M30" s="114"/>
      <c r="N30" s="127"/>
      <c r="O30" s="116" t="s">
        <v>152</v>
      </c>
      <c r="P30" s="116"/>
      <c r="Q30" s="116"/>
      <c r="R30" s="129"/>
      <c r="S30" s="116"/>
      <c r="T30" s="129">
        <f>SUM(T27:T29)</f>
        <v>379.3</v>
      </c>
      <c r="U30" s="115"/>
      <c r="V30" s="134"/>
    </row>
    <row r="31" spans="1:22" x14ac:dyDescent="0.25">
      <c r="A31" s="61">
        <v>3.06</v>
      </c>
      <c r="B31" s="62" t="s">
        <v>171</v>
      </c>
      <c r="C31" s="63" t="s">
        <v>172</v>
      </c>
      <c r="D31" s="64" t="s">
        <v>173</v>
      </c>
      <c r="E31" s="64">
        <v>120801</v>
      </c>
      <c r="F31" s="64" t="s">
        <v>174</v>
      </c>
      <c r="G31" s="64" t="s">
        <v>57</v>
      </c>
      <c r="H31" s="64">
        <v>829500</v>
      </c>
      <c r="I31" s="64"/>
      <c r="J31" s="65"/>
      <c r="L31" s="107">
        <v>3.41</v>
      </c>
      <c r="M31" s="107" t="s">
        <v>207</v>
      </c>
      <c r="N31" s="137" t="s">
        <v>385</v>
      </c>
      <c r="O31" s="109" t="s">
        <v>358</v>
      </c>
      <c r="P31" s="109" t="s">
        <v>327</v>
      </c>
      <c r="Q31" s="109" t="s">
        <v>327</v>
      </c>
      <c r="R31" s="109">
        <v>8</v>
      </c>
      <c r="S31" s="109">
        <v>12.7</v>
      </c>
      <c r="T31" s="109">
        <f>R31*S31</f>
        <v>101.6</v>
      </c>
      <c r="U31" s="108">
        <v>281</v>
      </c>
      <c r="V31" s="134" t="s">
        <v>386</v>
      </c>
    </row>
    <row r="32" spans="1:22" x14ac:dyDescent="0.25">
      <c r="A32" s="66"/>
      <c r="B32" s="67"/>
      <c r="C32" s="68"/>
      <c r="D32" s="69"/>
      <c r="E32" s="69">
        <v>120802</v>
      </c>
      <c r="F32" s="69" t="s">
        <v>175</v>
      </c>
      <c r="G32" s="69" t="s">
        <v>57</v>
      </c>
      <c r="H32" s="69">
        <v>1094000</v>
      </c>
      <c r="I32" s="69"/>
      <c r="J32" s="71"/>
      <c r="L32" s="111"/>
      <c r="M32" s="111"/>
      <c r="N32" s="138"/>
      <c r="O32" s="119" t="s">
        <v>359</v>
      </c>
      <c r="P32" s="119">
        <v>0.1</v>
      </c>
      <c r="Q32" s="119">
        <v>20</v>
      </c>
      <c r="R32" s="119">
        <f>P32*Q32</f>
        <v>2</v>
      </c>
      <c r="S32" s="119">
        <v>82.6</v>
      </c>
      <c r="T32" s="119">
        <f>R32*S32</f>
        <v>165.2</v>
      </c>
      <c r="U32" s="112" t="s">
        <v>331</v>
      </c>
      <c r="V32" s="134"/>
    </row>
    <row r="33" spans="1:22" x14ac:dyDescent="0.25">
      <c r="A33" s="66"/>
      <c r="B33" s="67"/>
      <c r="C33" s="68"/>
      <c r="D33" s="69"/>
      <c r="E33" s="69">
        <v>120803</v>
      </c>
      <c r="F33" s="70" t="s">
        <v>176</v>
      </c>
      <c r="G33" s="69" t="s">
        <v>57</v>
      </c>
      <c r="H33" s="69">
        <v>1419000</v>
      </c>
      <c r="I33" s="69">
        <v>1</v>
      </c>
      <c r="J33" s="71"/>
      <c r="L33" s="111"/>
      <c r="M33" s="111"/>
      <c r="N33" s="138"/>
      <c r="O33" s="68" t="s">
        <v>360</v>
      </c>
      <c r="P33" s="68">
        <v>0.08</v>
      </c>
      <c r="Q33" s="68">
        <v>2365</v>
      </c>
      <c r="R33" s="68">
        <f>P33*Q33</f>
        <v>189.20000000000002</v>
      </c>
      <c r="S33" s="68">
        <v>0.82</v>
      </c>
      <c r="T33" s="68">
        <f>R33*S33</f>
        <v>155.14400000000001</v>
      </c>
      <c r="U33" s="112"/>
      <c r="V33" s="134"/>
    </row>
    <row r="34" spans="1:22" x14ac:dyDescent="0.25">
      <c r="A34" s="66"/>
      <c r="B34" s="67"/>
      <c r="C34" s="68"/>
      <c r="D34" s="69"/>
      <c r="E34" s="69">
        <v>120804</v>
      </c>
      <c r="F34" s="69" t="s">
        <v>177</v>
      </c>
      <c r="G34" s="69" t="s">
        <v>57</v>
      </c>
      <c r="H34" s="69">
        <v>1644000</v>
      </c>
      <c r="I34" s="69"/>
      <c r="J34" s="71"/>
      <c r="L34" s="111"/>
      <c r="M34" s="111"/>
      <c r="N34" s="138"/>
      <c r="O34" s="68" t="s">
        <v>342</v>
      </c>
      <c r="P34" s="68">
        <v>0.01</v>
      </c>
      <c r="Q34" s="68">
        <v>1000</v>
      </c>
      <c r="R34" s="68">
        <f>P34*Q34</f>
        <v>10</v>
      </c>
      <c r="S34" s="68">
        <v>1.99</v>
      </c>
      <c r="T34" s="68">
        <f>R34*S34</f>
        <v>19.899999999999999</v>
      </c>
      <c r="U34" s="112" t="s">
        <v>386</v>
      </c>
      <c r="V34" s="134"/>
    </row>
    <row r="35" spans="1:22" x14ac:dyDescent="0.25">
      <c r="A35" s="66"/>
      <c r="B35" s="67"/>
      <c r="C35" s="68"/>
      <c r="D35" s="69"/>
      <c r="E35" s="69">
        <v>120805</v>
      </c>
      <c r="F35" s="69" t="s">
        <v>178</v>
      </c>
      <c r="G35" s="69" t="s">
        <v>57</v>
      </c>
      <c r="H35" s="69">
        <v>2048000</v>
      </c>
      <c r="I35" s="69"/>
      <c r="J35" s="71"/>
      <c r="L35" s="114"/>
      <c r="M35" s="114"/>
      <c r="N35" s="139"/>
      <c r="O35" s="116" t="s">
        <v>152</v>
      </c>
      <c r="P35" s="116"/>
      <c r="Q35" s="116"/>
      <c r="R35" s="116"/>
      <c r="S35" s="116"/>
      <c r="T35" s="116">
        <f>SUM(T31:T34)</f>
        <v>441.84399999999994</v>
      </c>
      <c r="U35" s="115">
        <f>SUM(T31:T34) -T32</f>
        <v>276.64399999999995</v>
      </c>
      <c r="V35" s="134"/>
    </row>
    <row r="36" spans="1:22" x14ac:dyDescent="0.25">
      <c r="A36" s="66"/>
      <c r="B36" s="67"/>
      <c r="C36" s="68"/>
      <c r="D36" s="69"/>
      <c r="E36" s="69">
        <v>120806</v>
      </c>
      <c r="F36" s="69" t="s">
        <v>179</v>
      </c>
      <c r="G36" s="69" t="s">
        <v>57</v>
      </c>
      <c r="H36" s="69">
        <v>695500</v>
      </c>
      <c r="I36" s="69"/>
      <c r="J36" s="71"/>
      <c r="L36" s="107">
        <v>3.42</v>
      </c>
      <c r="M36" s="107" t="s">
        <v>219</v>
      </c>
      <c r="N36" s="125" t="s">
        <v>220</v>
      </c>
      <c r="O36" s="109" t="s">
        <v>387</v>
      </c>
      <c r="P36" s="109">
        <v>0.04</v>
      </c>
      <c r="Q36" s="109">
        <v>32</v>
      </c>
      <c r="R36" s="109">
        <f>P36*Q36</f>
        <v>1.28</v>
      </c>
      <c r="S36" s="109">
        <v>123</v>
      </c>
      <c r="T36" s="109">
        <f>R36*S36</f>
        <v>157.44</v>
      </c>
      <c r="U36" s="108">
        <v>743</v>
      </c>
      <c r="V36" s="134" t="s">
        <v>386</v>
      </c>
    </row>
    <row r="37" spans="1:22" x14ac:dyDescent="0.25">
      <c r="A37" s="66"/>
      <c r="B37" s="67"/>
      <c r="C37" s="68"/>
      <c r="D37" s="69"/>
      <c r="E37" s="69">
        <v>120807</v>
      </c>
      <c r="F37" s="69" t="s">
        <v>180</v>
      </c>
      <c r="G37" s="69" t="s">
        <v>57</v>
      </c>
      <c r="H37" s="69">
        <v>940000</v>
      </c>
      <c r="I37" s="69"/>
      <c r="J37" s="71"/>
      <c r="L37" s="111"/>
      <c r="M37" s="111"/>
      <c r="N37" s="126"/>
      <c r="O37" s="68" t="s">
        <v>388</v>
      </c>
      <c r="P37" s="68">
        <v>2E-3</v>
      </c>
      <c r="Q37" s="68">
        <v>2712</v>
      </c>
      <c r="R37" s="68">
        <f>P37*Q37</f>
        <v>5.4240000000000004</v>
      </c>
      <c r="S37" s="68">
        <v>137</v>
      </c>
      <c r="T37" s="68">
        <f>R37*S37</f>
        <v>743.08800000000008</v>
      </c>
      <c r="U37" s="112" t="s">
        <v>338</v>
      </c>
      <c r="V37" s="134"/>
    </row>
    <row r="38" spans="1:22" x14ac:dyDescent="0.25">
      <c r="A38" s="66"/>
      <c r="B38" s="67"/>
      <c r="C38" s="68"/>
      <c r="D38" s="69" t="s">
        <v>147</v>
      </c>
      <c r="E38" s="69">
        <v>180201</v>
      </c>
      <c r="F38" s="70" t="s">
        <v>148</v>
      </c>
      <c r="G38" s="69" t="s">
        <v>57</v>
      </c>
      <c r="H38" s="69">
        <v>67200</v>
      </c>
      <c r="I38" s="69">
        <v>2</v>
      </c>
      <c r="J38" s="71"/>
      <c r="L38" s="114"/>
      <c r="M38" s="114"/>
      <c r="N38" s="127"/>
      <c r="O38" s="116" t="s">
        <v>152</v>
      </c>
      <c r="P38" s="116"/>
      <c r="Q38" s="116"/>
      <c r="R38" s="116"/>
      <c r="S38" s="116"/>
      <c r="T38" s="116">
        <f>SUM(T36:T37)</f>
        <v>900.52800000000002</v>
      </c>
      <c r="U38" s="115"/>
      <c r="V38" s="134"/>
    </row>
    <row r="39" spans="1:22" x14ac:dyDescent="0.25">
      <c r="A39" s="66"/>
      <c r="B39" s="67"/>
      <c r="C39" s="68"/>
      <c r="D39" s="69"/>
      <c r="E39" s="69">
        <v>180202</v>
      </c>
      <c r="F39" s="70" t="s">
        <v>149</v>
      </c>
      <c r="G39" s="69" t="s">
        <v>57</v>
      </c>
      <c r="H39" s="69">
        <v>206000</v>
      </c>
      <c r="I39" s="69">
        <v>2</v>
      </c>
      <c r="J39" s="71"/>
      <c r="L39" s="107">
        <v>3.43</v>
      </c>
      <c r="M39" s="107" t="s">
        <v>226</v>
      </c>
      <c r="N39" s="125" t="s">
        <v>227</v>
      </c>
      <c r="O39" s="109" t="s">
        <v>387</v>
      </c>
      <c r="P39" s="109">
        <v>0.04</v>
      </c>
      <c r="Q39" s="109">
        <v>32</v>
      </c>
      <c r="R39" s="109">
        <f>P39*Q39</f>
        <v>1.28</v>
      </c>
      <c r="S39" s="109">
        <v>123</v>
      </c>
      <c r="T39" s="109">
        <f>R39*S39</f>
        <v>157.44</v>
      </c>
      <c r="U39" s="108">
        <v>268</v>
      </c>
      <c r="V39" s="134" t="s">
        <v>386</v>
      </c>
    </row>
    <row r="40" spans="1:22" x14ac:dyDescent="0.25">
      <c r="A40" s="66"/>
      <c r="B40" s="67"/>
      <c r="C40" s="68"/>
      <c r="D40" s="69" t="s">
        <v>150</v>
      </c>
      <c r="E40" s="69">
        <v>180215</v>
      </c>
      <c r="F40" s="70" t="s">
        <v>151</v>
      </c>
      <c r="G40" s="69" t="s">
        <v>57</v>
      </c>
      <c r="H40" s="69">
        <v>190500</v>
      </c>
      <c r="I40" s="69">
        <v>2</v>
      </c>
      <c r="J40" s="71"/>
      <c r="L40" s="111"/>
      <c r="M40" s="111"/>
      <c r="N40" s="126"/>
      <c r="O40" s="68" t="s">
        <v>389</v>
      </c>
      <c r="P40" s="68">
        <v>1.8E-3</v>
      </c>
      <c r="Q40" s="68">
        <v>7850</v>
      </c>
      <c r="R40" s="68">
        <f>P40*Q40</f>
        <v>14.129999999999999</v>
      </c>
      <c r="S40" s="68">
        <v>19.2</v>
      </c>
      <c r="T40" s="68">
        <f>R40*S40</f>
        <v>271.29599999999999</v>
      </c>
      <c r="U40" s="112" t="s">
        <v>338</v>
      </c>
      <c r="V40" s="134"/>
    </row>
    <row r="41" spans="1:22" ht="19.5" thickBot="1" x14ac:dyDescent="0.3">
      <c r="A41" s="72"/>
      <c r="B41" s="73"/>
      <c r="C41" s="74"/>
      <c r="D41" s="75"/>
      <c r="E41" s="75"/>
      <c r="F41" s="75" t="s">
        <v>152</v>
      </c>
      <c r="G41" s="75" t="s">
        <v>57</v>
      </c>
      <c r="H41" s="76">
        <f>SUMPRODUCT(H31:H40,I31:I40)</f>
        <v>2346400</v>
      </c>
      <c r="I41" s="75"/>
      <c r="J41" s="77"/>
      <c r="L41" s="114"/>
      <c r="M41" s="114"/>
      <c r="N41" s="127"/>
      <c r="O41" s="116" t="s">
        <v>152</v>
      </c>
      <c r="P41" s="116"/>
      <c r="Q41" s="116"/>
      <c r="R41" s="116"/>
      <c r="S41" s="116"/>
      <c r="T41" s="116">
        <f>SUM(T39:T40)</f>
        <v>428.73599999999999</v>
      </c>
      <c r="U41" s="115"/>
      <c r="V41" s="134"/>
    </row>
    <row r="42" spans="1:22" x14ac:dyDescent="0.25">
      <c r="A42" s="66">
        <v>3.11</v>
      </c>
      <c r="B42" s="67" t="s">
        <v>181</v>
      </c>
      <c r="C42" s="68" t="s">
        <v>182</v>
      </c>
      <c r="D42" s="69" t="s">
        <v>183</v>
      </c>
      <c r="E42" s="69">
        <v>120820</v>
      </c>
      <c r="F42" s="69" t="s">
        <v>184</v>
      </c>
      <c r="G42" s="69" t="s">
        <v>57</v>
      </c>
      <c r="H42" s="69">
        <v>1340000</v>
      </c>
      <c r="I42" s="69"/>
      <c r="J42" s="71"/>
    </row>
    <row r="43" spans="1:22" x14ac:dyDescent="0.25">
      <c r="A43" s="66"/>
      <c r="B43" s="67"/>
      <c r="C43" s="68"/>
      <c r="D43" s="69"/>
      <c r="E43" s="69">
        <v>120821</v>
      </c>
      <c r="F43" s="69" t="s">
        <v>185</v>
      </c>
      <c r="G43" s="69" t="s">
        <v>57</v>
      </c>
      <c r="H43" s="69">
        <v>1585000</v>
      </c>
      <c r="I43" s="69"/>
      <c r="J43" s="71"/>
    </row>
    <row r="44" spans="1:22" x14ac:dyDescent="0.25">
      <c r="A44" s="66"/>
      <c r="B44" s="67"/>
      <c r="C44" s="68"/>
      <c r="D44" s="69"/>
      <c r="E44" s="69">
        <v>120822</v>
      </c>
      <c r="F44" s="69" t="s">
        <v>186</v>
      </c>
      <c r="G44" s="69" t="s">
        <v>57</v>
      </c>
      <c r="H44" s="69">
        <v>1990000</v>
      </c>
      <c r="I44" s="69"/>
      <c r="J44" s="71"/>
    </row>
    <row r="45" spans="1:22" x14ac:dyDescent="0.25">
      <c r="A45" s="66"/>
      <c r="B45" s="67"/>
      <c r="C45" s="68"/>
      <c r="D45" s="69"/>
      <c r="E45" s="69">
        <v>120823</v>
      </c>
      <c r="F45" s="69" t="s">
        <v>187</v>
      </c>
      <c r="G45" s="69" t="s">
        <v>57</v>
      </c>
      <c r="H45" s="69">
        <v>2264000</v>
      </c>
      <c r="I45" s="69"/>
      <c r="J45" s="71"/>
    </row>
    <row r="46" spans="1:22" x14ac:dyDescent="0.25">
      <c r="A46" s="66"/>
      <c r="B46" s="67"/>
      <c r="C46" s="68"/>
      <c r="D46" s="68"/>
      <c r="E46" s="82" t="s">
        <v>188</v>
      </c>
      <c r="F46" s="70" t="s">
        <v>189</v>
      </c>
      <c r="G46" s="69" t="s">
        <v>57</v>
      </c>
      <c r="H46" s="69">
        <v>2715000</v>
      </c>
      <c r="I46" s="69">
        <v>1</v>
      </c>
      <c r="J46" s="71"/>
    </row>
    <row r="47" spans="1:22" x14ac:dyDescent="0.25">
      <c r="A47" s="66"/>
      <c r="B47" s="67"/>
      <c r="C47" s="68"/>
      <c r="D47" s="69" t="s">
        <v>150</v>
      </c>
      <c r="E47" s="69">
        <v>180215</v>
      </c>
      <c r="F47" s="70" t="s">
        <v>151</v>
      </c>
      <c r="G47" s="69" t="s">
        <v>57</v>
      </c>
      <c r="H47" s="69">
        <v>190500</v>
      </c>
      <c r="I47" s="69">
        <v>2</v>
      </c>
      <c r="J47" s="71"/>
    </row>
    <row r="48" spans="1:22" ht="19.5" thickBot="1" x14ac:dyDescent="0.3">
      <c r="A48" s="72"/>
      <c r="B48" s="73"/>
      <c r="C48" s="74"/>
      <c r="D48" s="74"/>
      <c r="E48" s="83"/>
      <c r="F48" s="75" t="s">
        <v>152</v>
      </c>
      <c r="G48" s="75" t="s">
        <v>57</v>
      </c>
      <c r="H48" s="76">
        <f>SUMPRODUCT(H42:H47,I42:I47)</f>
        <v>3096000</v>
      </c>
      <c r="I48" s="75"/>
      <c r="J48" s="77"/>
    </row>
    <row r="49" spans="1:10" x14ac:dyDescent="0.25">
      <c r="A49" s="61">
        <v>3.39</v>
      </c>
      <c r="B49" s="62" t="s">
        <v>190</v>
      </c>
      <c r="C49" s="63" t="s">
        <v>191</v>
      </c>
      <c r="D49" s="63" t="s">
        <v>192</v>
      </c>
      <c r="E49" s="84" t="s">
        <v>193</v>
      </c>
      <c r="F49" s="85" t="s">
        <v>194</v>
      </c>
      <c r="G49" s="64" t="s">
        <v>67</v>
      </c>
      <c r="H49" s="64">
        <v>502500</v>
      </c>
      <c r="I49" s="64">
        <v>2</v>
      </c>
      <c r="J49" s="65"/>
    </row>
    <row r="50" spans="1:10" x14ac:dyDescent="0.25">
      <c r="A50" s="66"/>
      <c r="B50" s="67"/>
      <c r="C50" s="68"/>
      <c r="D50" s="68" t="s">
        <v>195</v>
      </c>
      <c r="E50" s="82" t="s">
        <v>196</v>
      </c>
      <c r="F50" s="70" t="s">
        <v>197</v>
      </c>
      <c r="G50" s="69" t="s">
        <v>57</v>
      </c>
      <c r="H50" s="69">
        <v>430500</v>
      </c>
      <c r="I50" s="69">
        <v>2</v>
      </c>
      <c r="J50" s="71"/>
    </row>
    <row r="51" spans="1:10" x14ac:dyDescent="0.25">
      <c r="A51" s="66"/>
      <c r="B51" s="67"/>
      <c r="C51" s="68"/>
      <c r="D51" s="68"/>
      <c r="E51" s="82" t="s">
        <v>198</v>
      </c>
      <c r="F51" s="70" t="s">
        <v>199</v>
      </c>
      <c r="G51" s="69" t="s">
        <v>57</v>
      </c>
      <c r="H51" s="69">
        <v>74300</v>
      </c>
      <c r="I51" s="69">
        <v>2</v>
      </c>
      <c r="J51" s="71"/>
    </row>
    <row r="52" spans="1:10" x14ac:dyDescent="0.25">
      <c r="A52" s="66"/>
      <c r="B52" s="67"/>
      <c r="C52" s="68"/>
      <c r="D52" s="68"/>
      <c r="E52" s="82" t="s">
        <v>200</v>
      </c>
      <c r="F52" s="70" t="s">
        <v>201</v>
      </c>
      <c r="G52" s="69" t="s">
        <v>57</v>
      </c>
      <c r="H52" s="69">
        <v>105500</v>
      </c>
      <c r="I52" s="69">
        <v>2</v>
      </c>
      <c r="J52" s="71"/>
    </row>
    <row r="53" spans="1:10" x14ac:dyDescent="0.25">
      <c r="A53" s="66"/>
      <c r="B53" s="67"/>
      <c r="C53" s="68"/>
      <c r="D53" s="68"/>
      <c r="E53" s="82" t="s">
        <v>202</v>
      </c>
      <c r="F53" s="70" t="s">
        <v>203</v>
      </c>
      <c r="G53" s="69" t="s">
        <v>57</v>
      </c>
      <c r="H53" s="69">
        <v>70300</v>
      </c>
      <c r="I53" s="69">
        <v>2</v>
      </c>
      <c r="J53" s="71"/>
    </row>
    <row r="54" spans="1:10" x14ac:dyDescent="0.25">
      <c r="A54" s="66"/>
      <c r="B54" s="67"/>
      <c r="C54" s="68"/>
      <c r="D54" s="68" t="s">
        <v>204</v>
      </c>
      <c r="E54" s="82">
        <v>140119</v>
      </c>
      <c r="F54" s="70" t="s">
        <v>205</v>
      </c>
      <c r="G54" s="69" t="s">
        <v>57</v>
      </c>
      <c r="H54" s="69">
        <v>372000</v>
      </c>
      <c r="I54" s="69">
        <v>1</v>
      </c>
      <c r="J54" s="71"/>
    </row>
    <row r="55" spans="1:10" x14ac:dyDescent="0.25">
      <c r="A55" s="66"/>
      <c r="B55" s="67"/>
      <c r="C55" s="68"/>
      <c r="D55" s="68"/>
      <c r="E55" s="82">
        <v>140120</v>
      </c>
      <c r="F55" s="70" t="s">
        <v>206</v>
      </c>
      <c r="G55" s="69" t="s">
        <v>67</v>
      </c>
      <c r="H55" s="69">
        <v>185000</v>
      </c>
      <c r="I55" s="69">
        <v>1.5</v>
      </c>
      <c r="J55" s="71"/>
    </row>
    <row r="56" spans="1:10" ht="19.5" thickBot="1" x14ac:dyDescent="0.3">
      <c r="A56" s="72"/>
      <c r="B56" s="73"/>
      <c r="C56" s="74"/>
      <c r="D56" s="74"/>
      <c r="E56" s="83"/>
      <c r="F56" s="75" t="s">
        <v>152</v>
      </c>
      <c r="G56" s="75" t="s">
        <v>57</v>
      </c>
      <c r="H56" s="76">
        <f>SUMPRODUCT(H49:H55,I49:I55)</f>
        <v>3015700</v>
      </c>
      <c r="I56" s="75"/>
      <c r="J56" s="77"/>
    </row>
    <row r="57" spans="1:10" ht="36" x14ac:dyDescent="0.25">
      <c r="A57" s="61">
        <v>3.41</v>
      </c>
      <c r="B57" s="62" t="s">
        <v>207</v>
      </c>
      <c r="C57" s="86" t="s">
        <v>208</v>
      </c>
      <c r="D57" s="63" t="s">
        <v>209</v>
      </c>
      <c r="E57" s="84" t="s">
        <v>210</v>
      </c>
      <c r="F57" s="87" t="s">
        <v>211</v>
      </c>
      <c r="G57" s="64" t="s">
        <v>57</v>
      </c>
      <c r="H57" s="64">
        <v>964500</v>
      </c>
      <c r="I57" s="64"/>
      <c r="J57" s="65"/>
    </row>
    <row r="58" spans="1:10" ht="36" x14ac:dyDescent="0.25">
      <c r="A58" s="66"/>
      <c r="B58" s="67"/>
      <c r="C58" s="88"/>
      <c r="D58" s="68"/>
      <c r="E58" s="82" t="s">
        <v>212</v>
      </c>
      <c r="F58" s="89" t="s">
        <v>213</v>
      </c>
      <c r="G58" s="69" t="s">
        <v>57</v>
      </c>
      <c r="H58" s="69">
        <v>1418000</v>
      </c>
      <c r="I58" s="69">
        <v>1</v>
      </c>
      <c r="J58" s="71"/>
    </row>
    <row r="59" spans="1:10" x14ac:dyDescent="0.25">
      <c r="A59" s="66"/>
      <c r="B59" s="67"/>
      <c r="C59" s="88"/>
      <c r="D59" s="68" t="s">
        <v>214</v>
      </c>
      <c r="E59" s="82" t="s">
        <v>215</v>
      </c>
      <c r="F59" s="70" t="s">
        <v>216</v>
      </c>
      <c r="G59" s="69" t="s">
        <v>57</v>
      </c>
      <c r="H59" s="69">
        <v>125000</v>
      </c>
      <c r="I59" s="69">
        <v>2</v>
      </c>
      <c r="J59" s="71"/>
    </row>
    <row r="60" spans="1:10" x14ac:dyDescent="0.25">
      <c r="A60" s="66"/>
      <c r="B60" s="67"/>
      <c r="C60" s="88"/>
      <c r="D60" s="68"/>
      <c r="E60" s="82" t="s">
        <v>217</v>
      </c>
      <c r="F60" s="69" t="s">
        <v>218</v>
      </c>
      <c r="G60" s="69" t="s">
        <v>57</v>
      </c>
      <c r="H60" s="69">
        <v>92000</v>
      </c>
      <c r="I60" s="69"/>
      <c r="J60" s="71"/>
    </row>
    <row r="61" spans="1:10" x14ac:dyDescent="0.25">
      <c r="A61" s="66"/>
      <c r="B61" s="67"/>
      <c r="C61" s="88"/>
      <c r="D61" s="69" t="s">
        <v>150</v>
      </c>
      <c r="E61" s="69">
        <v>180215</v>
      </c>
      <c r="F61" s="70" t="s">
        <v>151</v>
      </c>
      <c r="G61" s="69" t="s">
        <v>57</v>
      </c>
      <c r="H61" s="69">
        <v>190500</v>
      </c>
      <c r="I61" s="69">
        <v>2</v>
      </c>
      <c r="J61" s="71"/>
    </row>
    <row r="62" spans="1:10" ht="19.5" thickBot="1" x14ac:dyDescent="0.3">
      <c r="A62" s="72"/>
      <c r="B62" s="73"/>
      <c r="C62" s="90"/>
      <c r="D62" s="74"/>
      <c r="E62" s="83"/>
      <c r="F62" s="75" t="s">
        <v>152</v>
      </c>
      <c r="G62" s="75" t="s">
        <v>57</v>
      </c>
      <c r="H62" s="76">
        <f>SUMPRODUCT(H57:H61,I57:I61)</f>
        <v>2049000</v>
      </c>
      <c r="I62" s="75"/>
      <c r="J62" s="77"/>
    </row>
    <row r="63" spans="1:10" x14ac:dyDescent="0.25">
      <c r="A63" s="61">
        <v>3.42</v>
      </c>
      <c r="B63" s="62" t="s">
        <v>219</v>
      </c>
      <c r="C63" s="63" t="s">
        <v>220</v>
      </c>
      <c r="D63" s="63" t="s">
        <v>221</v>
      </c>
      <c r="E63" s="84" t="s">
        <v>222</v>
      </c>
      <c r="F63" s="85" t="s">
        <v>223</v>
      </c>
      <c r="G63" s="64" t="s">
        <v>57</v>
      </c>
      <c r="H63" s="64">
        <v>4806000</v>
      </c>
      <c r="I63" s="64">
        <v>1</v>
      </c>
      <c r="J63" s="65"/>
    </row>
    <row r="64" spans="1:10" x14ac:dyDescent="0.25">
      <c r="A64" s="66"/>
      <c r="B64" s="67"/>
      <c r="C64" s="68"/>
      <c r="D64" s="68"/>
      <c r="E64" s="82" t="s">
        <v>224</v>
      </c>
      <c r="F64" s="53" t="s">
        <v>225</v>
      </c>
      <c r="G64" s="69" t="s">
        <v>57</v>
      </c>
      <c r="H64" s="69">
        <v>570500</v>
      </c>
      <c r="I64" s="69"/>
      <c r="J64" s="71"/>
    </row>
    <row r="65" spans="1:10" ht="19.5" thickBot="1" x14ac:dyDescent="0.3">
      <c r="A65" s="72"/>
      <c r="B65" s="73"/>
      <c r="C65" s="74"/>
      <c r="D65" s="74"/>
      <c r="E65" s="83"/>
      <c r="F65" s="75" t="s">
        <v>152</v>
      </c>
      <c r="G65" s="75" t="s">
        <v>57</v>
      </c>
      <c r="H65" s="76">
        <f>SUMPRODUCT(H63:H64,I63:I64)</f>
        <v>4806000</v>
      </c>
      <c r="I65" s="75"/>
      <c r="J65" s="77"/>
    </row>
    <row r="66" spans="1:10" x14ac:dyDescent="0.25">
      <c r="A66" s="61">
        <v>3.43</v>
      </c>
      <c r="B66" s="62" t="s">
        <v>226</v>
      </c>
      <c r="C66" s="63" t="s">
        <v>227</v>
      </c>
      <c r="D66" s="63" t="s">
        <v>228</v>
      </c>
      <c r="E66" s="84" t="s">
        <v>229</v>
      </c>
      <c r="F66" s="85" t="s">
        <v>230</v>
      </c>
      <c r="G66" s="64" t="s">
        <v>57</v>
      </c>
      <c r="H66" s="64">
        <v>4969000</v>
      </c>
      <c r="I66" s="64">
        <v>1</v>
      </c>
      <c r="J66" s="65"/>
    </row>
    <row r="67" spans="1:10" x14ac:dyDescent="0.25">
      <c r="A67" s="66"/>
      <c r="B67" s="67"/>
      <c r="C67" s="68"/>
      <c r="D67" s="68"/>
      <c r="E67" s="82" t="s">
        <v>224</v>
      </c>
      <c r="F67" s="53" t="s">
        <v>225</v>
      </c>
      <c r="G67" s="69" t="s">
        <v>57</v>
      </c>
      <c r="H67" s="69">
        <v>570500</v>
      </c>
      <c r="I67" s="69"/>
      <c r="J67" s="71"/>
    </row>
    <row r="68" spans="1:10" ht="19.5" thickBot="1" x14ac:dyDescent="0.3">
      <c r="A68" s="72"/>
      <c r="B68" s="73"/>
      <c r="C68" s="74"/>
      <c r="D68" s="74"/>
      <c r="E68" s="83"/>
      <c r="F68" s="75" t="s">
        <v>152</v>
      </c>
      <c r="G68" s="75" t="s">
        <v>57</v>
      </c>
      <c r="H68" s="76">
        <f>SUMPRODUCT(H66:H67,I66:I67)</f>
        <v>4969000</v>
      </c>
      <c r="I68" s="75"/>
      <c r="J68" s="77"/>
    </row>
    <row r="69" spans="1:10" x14ac:dyDescent="0.25">
      <c r="E69" s="58"/>
    </row>
    <row r="70" spans="1:10" x14ac:dyDescent="0.25">
      <c r="E70" s="58"/>
    </row>
    <row r="71" spans="1:10" x14ac:dyDescent="0.25">
      <c r="E71" s="58"/>
    </row>
    <row r="72" spans="1:10" x14ac:dyDescent="0.25">
      <c r="E72" s="58"/>
    </row>
    <row r="73" spans="1:10" x14ac:dyDescent="0.25">
      <c r="E73" s="58"/>
    </row>
    <row r="74" spans="1:10" x14ac:dyDescent="0.25">
      <c r="E74" s="58"/>
    </row>
    <row r="75" spans="1:10" x14ac:dyDescent="0.25">
      <c r="E75" s="58"/>
    </row>
    <row r="76" spans="1:10" x14ac:dyDescent="0.25">
      <c r="E76" s="58"/>
    </row>
    <row r="77" spans="1:10" x14ac:dyDescent="0.25">
      <c r="E77" s="58"/>
    </row>
    <row r="78" spans="1:10" x14ac:dyDescent="0.25">
      <c r="E78" s="5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2"/>
  <sheetViews>
    <sheetView rightToLeft="1" topLeftCell="C41" zoomScale="85" zoomScaleNormal="85" workbookViewId="0">
      <selection activeCell="F12" activeCellId="1" sqref="F5 F12"/>
    </sheetView>
  </sheetViews>
  <sheetFormatPr defaultRowHeight="18.75" x14ac:dyDescent="0.25"/>
  <cols>
    <col min="1" max="1" width="9.140625" style="20"/>
    <col min="2" max="2" width="50" style="20" bestFit="1" customWidth="1"/>
    <col min="3" max="3" width="38.140625" style="22" bestFit="1" customWidth="1"/>
    <col min="4" max="4" width="24.7109375" style="22" bestFit="1" customWidth="1"/>
    <col min="5" max="5" width="11.42578125" style="56" bestFit="1" customWidth="1"/>
    <col min="6" max="6" width="159.7109375" style="22" customWidth="1"/>
    <col min="7" max="7" width="9.140625" style="22"/>
    <col min="8" max="8" width="13.42578125" style="22" bestFit="1" customWidth="1"/>
    <col min="9" max="10" width="9.140625" style="20"/>
    <col min="11" max="11" width="9.140625" style="135"/>
    <col min="12" max="12" width="6.5703125" style="20" bestFit="1" customWidth="1"/>
    <col min="13" max="13" width="59.140625" style="20" bestFit="1" customWidth="1"/>
    <col min="14" max="14" width="80.5703125" style="20" bestFit="1" customWidth="1"/>
    <col min="15" max="15" width="17.42578125" style="20" bestFit="1" customWidth="1"/>
    <col min="16" max="21" width="9.140625" style="20"/>
    <col min="22" max="22" width="9.140625" style="135"/>
    <col min="23" max="16384" width="9.140625" style="20"/>
  </cols>
  <sheetData>
    <row r="1" spans="1:21" ht="38.25" customHeight="1" x14ac:dyDescent="0.25">
      <c r="A1" s="59" t="s">
        <v>231</v>
      </c>
      <c r="B1" s="60" t="s">
        <v>232</v>
      </c>
      <c r="C1"/>
      <c r="D1"/>
      <c r="E1"/>
      <c r="F1"/>
      <c r="G1"/>
      <c r="H1"/>
      <c r="L1" s="59" t="s">
        <v>231</v>
      </c>
      <c r="M1" s="60" t="s">
        <v>232</v>
      </c>
      <c r="N1"/>
      <c r="O1"/>
      <c r="P1"/>
      <c r="Q1"/>
      <c r="R1"/>
      <c r="S1"/>
    </row>
    <row r="2" spans="1:21" ht="21.75" thickBot="1" x14ac:dyDescent="0.3">
      <c r="A2" s="20" t="s">
        <v>43</v>
      </c>
      <c r="B2" s="20" t="s">
        <v>44</v>
      </c>
      <c r="C2" s="22" t="s">
        <v>45</v>
      </c>
      <c r="D2" s="20" t="s">
        <v>46</v>
      </c>
      <c r="E2" s="22" t="s">
        <v>47</v>
      </c>
      <c r="F2" s="22" t="s">
        <v>48</v>
      </c>
      <c r="G2" s="22" t="s">
        <v>49</v>
      </c>
      <c r="H2" s="22" t="s">
        <v>50</v>
      </c>
      <c r="I2" s="22" t="s">
        <v>51</v>
      </c>
      <c r="J2" s="22" t="s">
        <v>52</v>
      </c>
      <c r="L2" s="106" t="s">
        <v>43</v>
      </c>
      <c r="M2" s="103" t="s">
        <v>44</v>
      </c>
      <c r="N2" s="104" t="s">
        <v>45</v>
      </c>
      <c r="O2" s="109" t="s">
        <v>318</v>
      </c>
      <c r="P2" s="109" t="s">
        <v>319</v>
      </c>
      <c r="Q2" s="109" t="s">
        <v>320</v>
      </c>
      <c r="R2" s="109" t="s">
        <v>321</v>
      </c>
      <c r="S2" s="109" t="s">
        <v>322</v>
      </c>
      <c r="T2" s="109" t="s">
        <v>323</v>
      </c>
      <c r="U2" s="108" t="s">
        <v>324</v>
      </c>
    </row>
    <row r="3" spans="1:21" x14ac:dyDescent="0.25">
      <c r="A3" s="61">
        <v>4.01</v>
      </c>
      <c r="B3" s="62" t="s">
        <v>141</v>
      </c>
      <c r="C3" s="63" t="s">
        <v>142</v>
      </c>
      <c r="D3" s="63" t="s">
        <v>143</v>
      </c>
      <c r="E3" s="64">
        <v>110201</v>
      </c>
      <c r="F3" s="64" t="s">
        <v>144</v>
      </c>
      <c r="G3" s="64" t="s">
        <v>75</v>
      </c>
      <c r="H3" s="64">
        <v>5780000</v>
      </c>
      <c r="I3" s="64"/>
      <c r="J3" s="65"/>
      <c r="L3" s="106">
        <v>4.01</v>
      </c>
      <c r="M3" s="107" t="s">
        <v>141</v>
      </c>
      <c r="N3" s="108" t="s">
        <v>142</v>
      </c>
      <c r="O3" s="109" t="s">
        <v>341</v>
      </c>
      <c r="P3" s="109">
        <v>0.08</v>
      </c>
      <c r="Q3" s="109">
        <v>1800</v>
      </c>
      <c r="R3" s="109">
        <f>P3*Q3</f>
        <v>144</v>
      </c>
      <c r="S3" s="109">
        <v>4.95</v>
      </c>
      <c r="T3" s="109">
        <f>R3*S3</f>
        <v>712.80000000000007</v>
      </c>
      <c r="U3" s="108">
        <v>725</v>
      </c>
    </row>
    <row r="4" spans="1:21" x14ac:dyDescent="0.25">
      <c r="A4" s="66"/>
      <c r="B4" s="67"/>
      <c r="C4" s="68"/>
      <c r="D4" s="69"/>
      <c r="E4" s="69">
        <v>110205</v>
      </c>
      <c r="F4" s="69" t="s">
        <v>145</v>
      </c>
      <c r="G4" s="69" t="s">
        <v>57</v>
      </c>
      <c r="H4" s="69">
        <v>1316000</v>
      </c>
      <c r="I4" s="69"/>
      <c r="J4" s="71"/>
      <c r="L4" s="110"/>
      <c r="M4" s="111"/>
      <c r="N4" s="112"/>
      <c r="O4" s="68" t="s">
        <v>147</v>
      </c>
      <c r="P4" s="68">
        <v>0.01</v>
      </c>
      <c r="Q4" s="68">
        <v>1600</v>
      </c>
      <c r="R4" s="68">
        <f>P4*Q4</f>
        <v>16</v>
      </c>
      <c r="S4" s="68">
        <v>1</v>
      </c>
      <c r="T4" s="68">
        <f>R4*S4</f>
        <v>16</v>
      </c>
      <c r="U4" s="112" t="s">
        <v>338</v>
      </c>
    </row>
    <row r="5" spans="1:21" x14ac:dyDescent="0.25">
      <c r="A5" s="66"/>
      <c r="B5" s="67"/>
      <c r="C5" s="68"/>
      <c r="D5" s="69"/>
      <c r="E5" s="69">
        <v>110208</v>
      </c>
      <c r="F5" s="70" t="s">
        <v>146</v>
      </c>
      <c r="G5" s="69" t="s">
        <v>57</v>
      </c>
      <c r="H5" s="69">
        <v>731000</v>
      </c>
      <c r="I5" s="69">
        <v>1</v>
      </c>
      <c r="J5" s="71"/>
      <c r="L5" s="110"/>
      <c r="M5" s="111"/>
      <c r="N5" s="112"/>
      <c r="O5" s="68" t="s">
        <v>342</v>
      </c>
      <c r="P5" s="68">
        <v>0.01</v>
      </c>
      <c r="Q5" s="68">
        <v>1000</v>
      </c>
      <c r="R5" s="68">
        <f>P5*Q5</f>
        <v>10</v>
      </c>
      <c r="S5" s="68">
        <v>1.99</v>
      </c>
      <c r="T5" s="68">
        <f>R5*S5</f>
        <v>19.899999999999999</v>
      </c>
      <c r="U5" s="112"/>
    </row>
    <row r="6" spans="1:21" x14ac:dyDescent="0.25">
      <c r="A6" s="66"/>
      <c r="B6" s="67"/>
      <c r="C6" s="68"/>
      <c r="D6" s="69" t="s">
        <v>147</v>
      </c>
      <c r="E6" s="69">
        <v>180201</v>
      </c>
      <c r="F6" s="70" t="s">
        <v>148</v>
      </c>
      <c r="G6" s="69" t="s">
        <v>57</v>
      </c>
      <c r="H6" s="69">
        <v>67200</v>
      </c>
      <c r="I6" s="69">
        <v>2</v>
      </c>
      <c r="J6" s="71"/>
      <c r="L6" s="113"/>
      <c r="M6" s="114"/>
      <c r="N6" s="115"/>
      <c r="O6" s="116"/>
      <c r="P6" s="116"/>
      <c r="Q6" s="116"/>
      <c r="R6" s="116"/>
      <c r="S6" s="116"/>
      <c r="T6" s="116">
        <f>SUM(T3:T5)</f>
        <v>748.7</v>
      </c>
      <c r="U6" s="115"/>
    </row>
    <row r="7" spans="1:21" x14ac:dyDescent="0.25">
      <c r="A7" s="66"/>
      <c r="B7" s="67"/>
      <c r="C7" s="68"/>
      <c r="D7" s="69"/>
      <c r="E7" s="69">
        <v>180202</v>
      </c>
      <c r="F7" s="70" t="s">
        <v>149</v>
      </c>
      <c r="G7" s="69" t="s">
        <v>57</v>
      </c>
      <c r="H7" s="69">
        <v>206000</v>
      </c>
      <c r="I7" s="69">
        <v>2</v>
      </c>
      <c r="J7" s="71"/>
      <c r="L7" s="110">
        <v>4.0199999999999996</v>
      </c>
      <c r="M7" s="111" t="s">
        <v>153</v>
      </c>
      <c r="N7" s="112" t="s">
        <v>154</v>
      </c>
      <c r="O7" s="68" t="s">
        <v>343</v>
      </c>
      <c r="P7" s="68">
        <v>0.08</v>
      </c>
      <c r="Q7" s="68">
        <v>1800</v>
      </c>
      <c r="R7" s="119">
        <f>P7*Q7*0.5</f>
        <v>72</v>
      </c>
      <c r="S7" s="68">
        <v>4.95</v>
      </c>
      <c r="T7" s="68">
        <f>R7*S7</f>
        <v>356.40000000000003</v>
      </c>
      <c r="U7" s="112">
        <v>379</v>
      </c>
    </row>
    <row r="8" spans="1:21" x14ac:dyDescent="0.25">
      <c r="A8" s="66"/>
      <c r="B8" s="67"/>
      <c r="C8" s="68"/>
      <c r="D8" s="69" t="s">
        <v>150</v>
      </c>
      <c r="E8" s="69">
        <v>180215</v>
      </c>
      <c r="F8" s="70" t="s">
        <v>151</v>
      </c>
      <c r="G8" s="69" t="s">
        <v>57</v>
      </c>
      <c r="H8" s="69">
        <v>190500</v>
      </c>
      <c r="I8" s="69">
        <v>2</v>
      </c>
      <c r="J8" s="71"/>
      <c r="L8" s="110"/>
      <c r="M8" s="111"/>
      <c r="N8" s="112"/>
      <c r="O8" s="68" t="s">
        <v>147</v>
      </c>
      <c r="P8" s="68">
        <v>0.01</v>
      </c>
      <c r="Q8" s="68">
        <v>1600</v>
      </c>
      <c r="R8" s="68">
        <f>P8*Q8</f>
        <v>16</v>
      </c>
      <c r="S8" s="68">
        <v>1</v>
      </c>
      <c r="T8" s="68">
        <f>R8*S8</f>
        <v>16</v>
      </c>
      <c r="U8" s="112" t="s">
        <v>338</v>
      </c>
    </row>
    <row r="9" spans="1:21" ht="19.5" thickBot="1" x14ac:dyDescent="0.3">
      <c r="A9" s="72"/>
      <c r="B9" s="73"/>
      <c r="C9" s="74"/>
      <c r="D9" s="75"/>
      <c r="E9" s="75"/>
      <c r="F9" s="75" t="s">
        <v>152</v>
      </c>
      <c r="G9" s="75" t="s">
        <v>57</v>
      </c>
      <c r="H9" s="76">
        <f>SUMPRODUCT(H3:H8,I3:I8)</f>
        <v>1658400</v>
      </c>
      <c r="I9" s="75"/>
      <c r="J9" s="77"/>
      <c r="L9" s="110"/>
      <c r="M9" s="111"/>
      <c r="N9" s="112"/>
      <c r="O9" s="68" t="s">
        <v>342</v>
      </c>
      <c r="P9" s="68">
        <v>0.01</v>
      </c>
      <c r="Q9" s="68">
        <v>1000</v>
      </c>
      <c r="R9" s="68">
        <f>P9*Q9</f>
        <v>10</v>
      </c>
      <c r="S9" s="68">
        <v>1.99</v>
      </c>
      <c r="T9" s="68">
        <f>R9*S9</f>
        <v>19.899999999999999</v>
      </c>
      <c r="U9" s="112"/>
    </row>
    <row r="10" spans="1:21" x14ac:dyDescent="0.25">
      <c r="A10" s="61">
        <v>4.0199999999999996</v>
      </c>
      <c r="B10" s="62" t="s">
        <v>153</v>
      </c>
      <c r="C10" s="63" t="s">
        <v>154</v>
      </c>
      <c r="D10" s="64" t="s">
        <v>155</v>
      </c>
      <c r="E10" s="64">
        <v>110501</v>
      </c>
      <c r="F10" s="64" t="s">
        <v>156</v>
      </c>
      <c r="G10" s="64" t="s">
        <v>75</v>
      </c>
      <c r="H10" s="64">
        <v>6943000</v>
      </c>
      <c r="I10" s="78"/>
      <c r="J10" s="65"/>
      <c r="L10" s="110"/>
      <c r="M10" s="111"/>
      <c r="N10" s="112"/>
      <c r="O10" s="68"/>
      <c r="P10" s="68"/>
      <c r="Q10" s="68"/>
      <c r="R10" s="68"/>
      <c r="S10" s="68"/>
      <c r="T10" s="68">
        <f>SUM(T7:T9)</f>
        <v>392.3</v>
      </c>
      <c r="U10" s="112"/>
    </row>
    <row r="11" spans="1:21" x14ac:dyDescent="0.25">
      <c r="A11" s="66"/>
      <c r="B11" s="67"/>
      <c r="C11" s="68"/>
      <c r="D11" s="69"/>
      <c r="E11" s="69">
        <v>110502</v>
      </c>
      <c r="F11" s="69" t="s">
        <v>157</v>
      </c>
      <c r="G11" s="69" t="s">
        <v>57</v>
      </c>
      <c r="H11" s="69">
        <v>1607000</v>
      </c>
      <c r="I11" s="79"/>
      <c r="J11" s="71"/>
      <c r="L11" s="106">
        <v>4.03</v>
      </c>
      <c r="M11" s="107" t="s">
        <v>159</v>
      </c>
      <c r="N11" s="108" t="s">
        <v>160</v>
      </c>
      <c r="O11" s="109" t="s">
        <v>344</v>
      </c>
      <c r="P11" s="109">
        <v>0.08</v>
      </c>
      <c r="Q11" s="109">
        <v>815</v>
      </c>
      <c r="R11" s="128">
        <f>P11*Q11</f>
        <v>65.2</v>
      </c>
      <c r="S11" s="109">
        <v>2.02</v>
      </c>
      <c r="T11" s="109">
        <f>R11*S11</f>
        <v>131.70400000000001</v>
      </c>
      <c r="U11" s="108">
        <v>173</v>
      </c>
    </row>
    <row r="12" spans="1:21" x14ac:dyDescent="0.25">
      <c r="A12" s="66"/>
      <c r="B12" s="67"/>
      <c r="C12" s="68"/>
      <c r="D12" s="69"/>
      <c r="E12" s="69">
        <v>110503</v>
      </c>
      <c r="F12" s="70" t="s">
        <v>158</v>
      </c>
      <c r="G12" s="69" t="s">
        <v>57</v>
      </c>
      <c r="H12" s="69">
        <v>866500</v>
      </c>
      <c r="I12" s="79">
        <v>1</v>
      </c>
      <c r="J12" s="71"/>
      <c r="L12" s="110"/>
      <c r="M12" s="111"/>
      <c r="N12" s="112"/>
      <c r="O12" s="68" t="s">
        <v>147</v>
      </c>
      <c r="P12" s="68">
        <v>0.01</v>
      </c>
      <c r="Q12" s="68">
        <v>1600</v>
      </c>
      <c r="R12" s="68">
        <f>P12*Q12</f>
        <v>16</v>
      </c>
      <c r="S12" s="68">
        <v>1</v>
      </c>
      <c r="T12" s="68">
        <f>R12*S12</f>
        <v>16</v>
      </c>
      <c r="U12" s="112" t="s">
        <v>338</v>
      </c>
    </row>
    <row r="13" spans="1:21" x14ac:dyDescent="0.25">
      <c r="A13" s="66"/>
      <c r="B13" s="67"/>
      <c r="C13" s="68"/>
      <c r="D13" s="69" t="s">
        <v>147</v>
      </c>
      <c r="E13" s="69">
        <v>180201</v>
      </c>
      <c r="F13" s="70" t="s">
        <v>148</v>
      </c>
      <c r="G13" s="69" t="s">
        <v>57</v>
      </c>
      <c r="H13" s="69">
        <v>67200</v>
      </c>
      <c r="I13" s="79">
        <v>2</v>
      </c>
      <c r="J13" s="71"/>
      <c r="L13" s="110"/>
      <c r="M13" s="111"/>
      <c r="N13" s="112"/>
      <c r="O13" s="68" t="s">
        <v>342</v>
      </c>
      <c r="P13" s="68">
        <v>0.01</v>
      </c>
      <c r="Q13" s="68">
        <v>1000</v>
      </c>
      <c r="R13" s="68">
        <f>P13*Q13</f>
        <v>10</v>
      </c>
      <c r="S13" s="68">
        <v>1.99</v>
      </c>
      <c r="T13" s="68">
        <f>R13*S13</f>
        <v>19.899999999999999</v>
      </c>
      <c r="U13" s="112"/>
    </row>
    <row r="14" spans="1:21" x14ac:dyDescent="0.25">
      <c r="A14" s="66"/>
      <c r="B14" s="67"/>
      <c r="C14" s="68"/>
      <c r="D14" s="69"/>
      <c r="E14" s="69">
        <v>180202</v>
      </c>
      <c r="F14" s="70" t="s">
        <v>149</v>
      </c>
      <c r="G14" s="69" t="s">
        <v>57</v>
      </c>
      <c r="H14" s="69">
        <v>206000</v>
      </c>
      <c r="I14" s="79">
        <v>2</v>
      </c>
      <c r="J14" s="71"/>
      <c r="L14" s="113"/>
      <c r="M14" s="114"/>
      <c r="N14" s="115"/>
      <c r="O14" s="116"/>
      <c r="P14" s="116"/>
      <c r="Q14" s="116"/>
      <c r="R14" s="116"/>
      <c r="S14" s="116"/>
      <c r="T14" s="116">
        <f>SUM(T11:T13)</f>
        <v>167.60400000000001</v>
      </c>
      <c r="U14" s="115"/>
    </row>
    <row r="15" spans="1:21" x14ac:dyDescent="0.25">
      <c r="A15" s="66"/>
      <c r="B15" s="67"/>
      <c r="C15" s="68"/>
      <c r="D15" s="69" t="s">
        <v>150</v>
      </c>
      <c r="E15" s="69">
        <v>180215</v>
      </c>
      <c r="F15" s="70" t="s">
        <v>151</v>
      </c>
      <c r="G15" s="69" t="s">
        <v>57</v>
      </c>
      <c r="H15" s="69">
        <v>190500</v>
      </c>
      <c r="I15" s="79">
        <v>2</v>
      </c>
      <c r="J15" s="71"/>
      <c r="L15" s="110">
        <v>4.04</v>
      </c>
      <c r="M15" s="111" t="s">
        <v>165</v>
      </c>
      <c r="N15" s="112" t="s">
        <v>166</v>
      </c>
      <c r="O15" s="68" t="s">
        <v>345</v>
      </c>
      <c r="P15" s="68">
        <v>0.08</v>
      </c>
      <c r="Q15" s="68">
        <v>1606</v>
      </c>
      <c r="R15" s="31">
        <f>P15*Q15</f>
        <v>128.47999999999999</v>
      </c>
      <c r="S15" s="68">
        <v>0.66</v>
      </c>
      <c r="T15" s="68">
        <f>R15*S15</f>
        <v>84.79679999999999</v>
      </c>
      <c r="U15" s="112">
        <v>128</v>
      </c>
    </row>
    <row r="16" spans="1:21" ht="19.5" thickBot="1" x14ac:dyDescent="0.3">
      <c r="A16" s="72"/>
      <c r="B16" s="73"/>
      <c r="C16" s="74"/>
      <c r="D16" s="75"/>
      <c r="E16" s="75"/>
      <c r="F16" s="75" t="s">
        <v>152</v>
      </c>
      <c r="G16" s="75" t="s">
        <v>57</v>
      </c>
      <c r="H16" s="76">
        <f>SUMPRODUCT(H10:H15,I10:I15)</f>
        <v>1793900</v>
      </c>
      <c r="I16" s="80"/>
      <c r="J16" s="77"/>
      <c r="L16" s="110"/>
      <c r="M16" s="111"/>
      <c r="N16" s="112"/>
      <c r="O16" s="68" t="s">
        <v>147</v>
      </c>
      <c r="P16" s="68">
        <v>0.01</v>
      </c>
      <c r="Q16" s="68">
        <v>1600</v>
      </c>
      <c r="R16" s="68">
        <f>P16*Q16</f>
        <v>16</v>
      </c>
      <c r="S16" s="68">
        <v>1</v>
      </c>
      <c r="T16" s="68">
        <f>R16*S16</f>
        <v>16</v>
      </c>
      <c r="U16" s="112" t="s">
        <v>338</v>
      </c>
    </row>
    <row r="17" spans="1:21" x14ac:dyDescent="0.25">
      <c r="A17" s="61">
        <v>4.03</v>
      </c>
      <c r="B17" s="62" t="s">
        <v>159</v>
      </c>
      <c r="C17" s="63" t="s">
        <v>160</v>
      </c>
      <c r="D17" s="64" t="s">
        <v>161</v>
      </c>
      <c r="E17" s="64">
        <v>110401</v>
      </c>
      <c r="F17" s="85" t="s">
        <v>162</v>
      </c>
      <c r="G17" s="64" t="s">
        <v>75</v>
      </c>
      <c r="H17" s="64">
        <v>5690000</v>
      </c>
      <c r="I17" s="140">
        <v>0.1</v>
      </c>
      <c r="J17" s="65"/>
      <c r="L17" s="110"/>
      <c r="M17" s="111"/>
      <c r="N17" s="112"/>
      <c r="O17" s="68" t="s">
        <v>342</v>
      </c>
      <c r="P17" s="68">
        <v>0.01</v>
      </c>
      <c r="Q17" s="68">
        <v>1000</v>
      </c>
      <c r="R17" s="68">
        <f>P17*Q17</f>
        <v>10</v>
      </c>
      <c r="S17" s="68">
        <v>1.99</v>
      </c>
      <c r="T17" s="68">
        <f>R17*S17</f>
        <v>19.899999999999999</v>
      </c>
      <c r="U17" s="112"/>
    </row>
    <row r="18" spans="1:21" x14ac:dyDescent="0.25">
      <c r="A18" s="66"/>
      <c r="B18" s="67"/>
      <c r="C18" s="68"/>
      <c r="D18" s="69"/>
      <c r="E18" s="69">
        <v>110402</v>
      </c>
      <c r="F18" s="69" t="s">
        <v>163</v>
      </c>
      <c r="G18" s="69" t="s">
        <v>75</v>
      </c>
      <c r="H18" s="69">
        <v>5419000</v>
      </c>
      <c r="I18" s="79"/>
      <c r="J18" s="71"/>
      <c r="L18" s="110"/>
      <c r="M18" s="111"/>
      <c r="N18" s="112"/>
      <c r="O18" s="68"/>
      <c r="P18" s="68"/>
      <c r="Q18" s="68"/>
      <c r="R18" s="68"/>
      <c r="S18" s="68"/>
      <c r="T18" s="68">
        <f>SUM(T15:T17)</f>
        <v>120.6968</v>
      </c>
      <c r="U18" s="112"/>
    </row>
    <row r="19" spans="1:21" x14ac:dyDescent="0.25">
      <c r="A19" s="66"/>
      <c r="B19" s="67"/>
      <c r="C19" s="68"/>
      <c r="D19" s="69"/>
      <c r="E19" s="69">
        <v>110403</v>
      </c>
      <c r="F19" s="69" t="s">
        <v>164</v>
      </c>
      <c r="G19" s="69" t="s">
        <v>75</v>
      </c>
      <c r="H19" s="69">
        <v>5329000</v>
      </c>
      <c r="I19" s="79"/>
      <c r="J19" s="71"/>
      <c r="L19" s="106">
        <v>4.0599999999999996</v>
      </c>
      <c r="M19" s="107" t="s">
        <v>171</v>
      </c>
      <c r="N19" s="108" t="s">
        <v>172</v>
      </c>
      <c r="O19" s="109" t="s">
        <v>346</v>
      </c>
      <c r="P19" s="109">
        <v>0.08</v>
      </c>
      <c r="Q19" s="109">
        <v>471</v>
      </c>
      <c r="R19" s="128">
        <f>P19*Q19</f>
        <v>37.68</v>
      </c>
      <c r="S19" s="109">
        <v>3.54</v>
      </c>
      <c r="T19" s="109">
        <f>R19*S19</f>
        <v>133.38720000000001</v>
      </c>
      <c r="U19" s="108">
        <v>174</v>
      </c>
    </row>
    <row r="20" spans="1:21" x14ac:dyDescent="0.25">
      <c r="A20" s="66"/>
      <c r="B20" s="67"/>
      <c r="C20" s="68"/>
      <c r="D20" s="69" t="s">
        <v>147</v>
      </c>
      <c r="E20" s="69">
        <v>180201</v>
      </c>
      <c r="F20" s="70" t="s">
        <v>148</v>
      </c>
      <c r="G20" s="69" t="s">
        <v>57</v>
      </c>
      <c r="H20" s="69">
        <v>67200</v>
      </c>
      <c r="I20" s="79">
        <v>2</v>
      </c>
      <c r="J20" s="71"/>
      <c r="L20" s="110"/>
      <c r="M20" s="111"/>
      <c r="N20" s="112"/>
      <c r="O20" s="68" t="s">
        <v>147</v>
      </c>
      <c r="P20" s="68">
        <v>0.01</v>
      </c>
      <c r="Q20" s="68">
        <v>1600</v>
      </c>
      <c r="R20" s="68">
        <f>P20*Q20</f>
        <v>16</v>
      </c>
      <c r="S20" s="68">
        <v>1</v>
      </c>
      <c r="T20" s="68">
        <f>R20*S20</f>
        <v>16</v>
      </c>
      <c r="U20" s="112" t="s">
        <v>338</v>
      </c>
    </row>
    <row r="21" spans="1:21" x14ac:dyDescent="0.25">
      <c r="A21" s="66"/>
      <c r="B21" s="67"/>
      <c r="C21" s="68"/>
      <c r="D21" s="69"/>
      <c r="E21" s="69">
        <v>180202</v>
      </c>
      <c r="F21" s="70" t="s">
        <v>149</v>
      </c>
      <c r="G21" s="69" t="s">
        <v>57</v>
      </c>
      <c r="H21" s="69">
        <v>206000</v>
      </c>
      <c r="I21" s="79">
        <v>2</v>
      </c>
      <c r="J21" s="71"/>
      <c r="L21" s="110"/>
      <c r="M21" s="111"/>
      <c r="N21" s="112"/>
      <c r="O21" s="68" t="s">
        <v>342</v>
      </c>
      <c r="P21" s="68">
        <v>0.01</v>
      </c>
      <c r="Q21" s="68">
        <v>1000</v>
      </c>
      <c r="R21" s="68">
        <f>P21*Q21</f>
        <v>10</v>
      </c>
      <c r="S21" s="68">
        <v>1.99</v>
      </c>
      <c r="T21" s="68">
        <f>R21*S21</f>
        <v>19.899999999999999</v>
      </c>
      <c r="U21" s="112"/>
    </row>
    <row r="22" spans="1:21" x14ac:dyDescent="0.25">
      <c r="A22" s="66"/>
      <c r="B22" s="67"/>
      <c r="C22" s="68"/>
      <c r="D22" s="69" t="s">
        <v>150</v>
      </c>
      <c r="E22" s="69">
        <v>180215</v>
      </c>
      <c r="F22" s="70" t="s">
        <v>151</v>
      </c>
      <c r="G22" s="69" t="s">
        <v>57</v>
      </c>
      <c r="H22" s="69">
        <v>190500</v>
      </c>
      <c r="I22" s="79">
        <v>2</v>
      </c>
      <c r="J22" s="71"/>
      <c r="L22" s="113"/>
      <c r="M22" s="114"/>
      <c r="N22" s="115"/>
      <c r="O22" s="116"/>
      <c r="P22" s="116"/>
      <c r="Q22" s="116"/>
      <c r="R22" s="116"/>
      <c r="S22" s="116"/>
      <c r="T22" s="116">
        <f>SUM(T19:T21)</f>
        <v>169.28720000000001</v>
      </c>
      <c r="U22" s="115"/>
    </row>
    <row r="23" spans="1:21" ht="19.5" thickBot="1" x14ac:dyDescent="0.3">
      <c r="A23" s="72"/>
      <c r="B23" s="73"/>
      <c r="C23" s="74"/>
      <c r="D23" s="75"/>
      <c r="E23" s="75"/>
      <c r="F23" s="75" t="s">
        <v>152</v>
      </c>
      <c r="G23" s="75" t="s">
        <v>57</v>
      </c>
      <c r="H23" s="76">
        <f>SUMPRODUCT(H17:H22,I17:I22)</f>
        <v>1496400</v>
      </c>
      <c r="I23" s="80"/>
      <c r="J23" s="77"/>
      <c r="L23" s="110">
        <v>4.1100000000000003</v>
      </c>
      <c r="M23" s="111" t="s">
        <v>347</v>
      </c>
      <c r="N23" s="112" t="s">
        <v>348</v>
      </c>
      <c r="O23" s="68" t="s">
        <v>349</v>
      </c>
      <c r="P23" s="68">
        <v>0.1</v>
      </c>
      <c r="Q23" s="68" t="s">
        <v>327</v>
      </c>
      <c r="R23" s="68" t="s">
        <v>327</v>
      </c>
      <c r="S23" s="68" t="s">
        <v>327</v>
      </c>
      <c r="T23" s="68">
        <v>366</v>
      </c>
      <c r="U23" s="112">
        <v>366</v>
      </c>
    </row>
    <row r="24" spans="1:21" x14ac:dyDescent="0.25">
      <c r="A24" s="61">
        <v>4.04</v>
      </c>
      <c r="B24" s="62" t="s">
        <v>165</v>
      </c>
      <c r="C24" s="63" t="s">
        <v>166</v>
      </c>
      <c r="D24" s="64" t="s">
        <v>167</v>
      </c>
      <c r="E24" s="64">
        <v>121001</v>
      </c>
      <c r="F24" s="85" t="s">
        <v>168</v>
      </c>
      <c r="G24" s="64" t="s">
        <v>57</v>
      </c>
      <c r="H24" s="64">
        <v>861500</v>
      </c>
      <c r="I24" s="64">
        <v>1</v>
      </c>
      <c r="J24" s="65"/>
      <c r="L24" s="110"/>
      <c r="M24" s="111"/>
      <c r="N24" s="112"/>
      <c r="O24" s="68" t="s">
        <v>342</v>
      </c>
      <c r="P24" s="68">
        <v>0.01</v>
      </c>
      <c r="Q24" s="68">
        <v>1000</v>
      </c>
      <c r="R24" s="68">
        <f>P24*Q24</f>
        <v>10</v>
      </c>
      <c r="S24" s="68">
        <v>1.99</v>
      </c>
      <c r="T24" s="68">
        <f>R24*S24</f>
        <v>19.899999999999999</v>
      </c>
      <c r="U24" s="112" t="s">
        <v>338</v>
      </c>
    </row>
    <row r="25" spans="1:21" x14ac:dyDescent="0.25">
      <c r="A25" s="66"/>
      <c r="B25" s="67"/>
      <c r="C25" s="68"/>
      <c r="D25" s="69"/>
      <c r="E25" s="69">
        <v>121002</v>
      </c>
      <c r="F25" s="69" t="s">
        <v>169</v>
      </c>
      <c r="G25" s="69" t="s">
        <v>57</v>
      </c>
      <c r="H25" s="69">
        <v>1046000</v>
      </c>
      <c r="I25" s="69"/>
      <c r="J25" s="71"/>
      <c r="L25" s="110"/>
      <c r="M25" s="111"/>
      <c r="N25" s="112"/>
      <c r="O25" s="68"/>
      <c r="P25" s="68"/>
      <c r="Q25" s="68"/>
      <c r="R25" s="68"/>
      <c r="S25" s="68"/>
      <c r="T25" s="68"/>
      <c r="U25" s="112"/>
    </row>
    <row r="26" spans="1:21" x14ac:dyDescent="0.25">
      <c r="A26" s="66"/>
      <c r="B26" s="67"/>
      <c r="C26" s="68"/>
      <c r="D26" s="69"/>
      <c r="E26" s="69">
        <v>121003</v>
      </c>
      <c r="F26" s="69" t="s">
        <v>170</v>
      </c>
      <c r="G26" s="69" t="s">
        <v>57</v>
      </c>
      <c r="H26" s="69">
        <v>127000</v>
      </c>
      <c r="I26" s="69"/>
      <c r="J26" s="71"/>
      <c r="L26" s="110"/>
      <c r="M26" s="111"/>
      <c r="N26" s="112"/>
      <c r="O26" s="68"/>
      <c r="P26" s="68"/>
      <c r="Q26" s="68"/>
      <c r="R26" s="68"/>
      <c r="S26" s="68"/>
      <c r="T26" s="68"/>
      <c r="U26" s="112"/>
    </row>
    <row r="27" spans="1:21" x14ac:dyDescent="0.25">
      <c r="A27" s="66"/>
      <c r="B27" s="67"/>
      <c r="C27" s="68"/>
      <c r="D27" s="69" t="s">
        <v>147</v>
      </c>
      <c r="E27" s="69">
        <v>180201</v>
      </c>
      <c r="F27" s="70" t="s">
        <v>148</v>
      </c>
      <c r="G27" s="69" t="s">
        <v>57</v>
      </c>
      <c r="H27" s="69">
        <v>67200</v>
      </c>
      <c r="I27" s="69">
        <v>2</v>
      </c>
      <c r="J27" s="71"/>
      <c r="L27" s="106">
        <v>4.26</v>
      </c>
      <c r="M27" s="107" t="s">
        <v>351</v>
      </c>
      <c r="N27" s="108" t="s">
        <v>352</v>
      </c>
      <c r="O27" s="109" t="s">
        <v>353</v>
      </c>
      <c r="P27" s="109">
        <v>0.02</v>
      </c>
      <c r="Q27" s="109">
        <v>840</v>
      </c>
      <c r="R27" s="128">
        <f>P27*Q27</f>
        <v>16.8</v>
      </c>
      <c r="S27" s="109">
        <v>4.0999999999999996</v>
      </c>
      <c r="T27" s="128">
        <f>R27*S27</f>
        <v>68.88</v>
      </c>
      <c r="U27" s="108">
        <v>353</v>
      </c>
    </row>
    <row r="28" spans="1:21" x14ac:dyDescent="0.25">
      <c r="A28" s="66"/>
      <c r="B28" s="67"/>
      <c r="C28" s="68"/>
      <c r="D28" s="69"/>
      <c r="E28" s="69">
        <v>180202</v>
      </c>
      <c r="F28" s="70" t="s">
        <v>149</v>
      </c>
      <c r="G28" s="69" t="s">
        <v>57</v>
      </c>
      <c r="H28" s="69">
        <v>206000</v>
      </c>
      <c r="I28" s="69">
        <v>2</v>
      </c>
      <c r="J28" s="71"/>
      <c r="L28" s="110"/>
      <c r="M28" s="111"/>
      <c r="N28" s="112"/>
      <c r="O28" s="119" t="s">
        <v>354</v>
      </c>
      <c r="P28" s="68" t="s">
        <v>327</v>
      </c>
      <c r="Q28" s="68" t="s">
        <v>327</v>
      </c>
      <c r="R28" s="68">
        <v>6.4</v>
      </c>
      <c r="S28" s="68">
        <v>19.2</v>
      </c>
      <c r="T28" s="31">
        <f>R28*S28</f>
        <v>122.88</v>
      </c>
      <c r="U28" s="112" t="s">
        <v>338</v>
      </c>
    </row>
    <row r="29" spans="1:21" x14ac:dyDescent="0.25">
      <c r="A29" s="66"/>
      <c r="B29" s="67"/>
      <c r="C29" s="68"/>
      <c r="D29" s="69" t="s">
        <v>150</v>
      </c>
      <c r="E29" s="69">
        <v>180215</v>
      </c>
      <c r="F29" s="70" t="s">
        <v>151</v>
      </c>
      <c r="G29" s="69" t="s">
        <v>57</v>
      </c>
      <c r="H29" s="69">
        <v>190500</v>
      </c>
      <c r="I29" s="69">
        <v>2</v>
      </c>
      <c r="J29" s="71"/>
      <c r="L29" s="110"/>
      <c r="M29" s="111"/>
      <c r="N29" s="112"/>
      <c r="O29" s="68" t="s">
        <v>355</v>
      </c>
      <c r="P29" s="68">
        <v>0.1</v>
      </c>
      <c r="Q29" s="68">
        <v>31</v>
      </c>
      <c r="R29" s="31">
        <f>P29*Q29</f>
        <v>3.1</v>
      </c>
      <c r="S29" s="68">
        <v>19.100000000000001</v>
      </c>
      <c r="T29" s="31">
        <f>R29*S29</f>
        <v>59.210000000000008</v>
      </c>
      <c r="U29" s="112"/>
    </row>
    <row r="30" spans="1:21" ht="19.5" thickBot="1" x14ac:dyDescent="0.3">
      <c r="A30" s="72"/>
      <c r="B30" s="73"/>
      <c r="C30" s="74"/>
      <c r="D30" s="75"/>
      <c r="E30" s="75"/>
      <c r="F30" s="75" t="s">
        <v>152</v>
      </c>
      <c r="G30" s="75" t="s">
        <v>57</v>
      </c>
      <c r="H30" s="76">
        <f>SUMPRODUCT(H24:H29,I24:I29)</f>
        <v>1788900</v>
      </c>
      <c r="I30" s="75"/>
      <c r="J30" s="77"/>
      <c r="L30" s="113"/>
      <c r="M30" s="114"/>
      <c r="N30" s="115"/>
      <c r="O30" s="116"/>
      <c r="P30" s="116"/>
      <c r="Q30" s="116"/>
      <c r="R30" s="129"/>
      <c r="S30" s="116"/>
      <c r="T30" s="129">
        <f>SUM(T27:T29)</f>
        <v>250.97</v>
      </c>
      <c r="U30" s="115"/>
    </row>
    <row r="31" spans="1:21" x14ac:dyDescent="0.25">
      <c r="A31" s="61">
        <v>4.0599999999999996</v>
      </c>
      <c r="B31" s="62" t="s">
        <v>171</v>
      </c>
      <c r="C31" s="63" t="s">
        <v>172</v>
      </c>
      <c r="D31" s="64" t="s">
        <v>173</v>
      </c>
      <c r="E31" s="64">
        <v>120801</v>
      </c>
      <c r="F31" s="85" t="s">
        <v>174</v>
      </c>
      <c r="G31" s="64" t="s">
        <v>57</v>
      </c>
      <c r="H31" s="64">
        <v>829500</v>
      </c>
      <c r="I31" s="64">
        <v>1</v>
      </c>
      <c r="J31" s="65"/>
      <c r="L31" s="110">
        <v>4.28</v>
      </c>
      <c r="M31" s="111" t="s">
        <v>356</v>
      </c>
      <c r="N31" s="130" t="s">
        <v>357</v>
      </c>
      <c r="O31" s="68" t="s">
        <v>358</v>
      </c>
      <c r="P31" s="68" t="s">
        <v>327</v>
      </c>
      <c r="Q31" s="68" t="s">
        <v>327</v>
      </c>
      <c r="R31" s="68">
        <v>8</v>
      </c>
      <c r="S31" s="68">
        <v>12.7</v>
      </c>
      <c r="T31" s="68">
        <f>R31*S31</f>
        <v>101.6</v>
      </c>
      <c r="U31" s="112">
        <v>387</v>
      </c>
    </row>
    <row r="32" spans="1:21" x14ac:dyDescent="0.25">
      <c r="A32" s="66"/>
      <c r="B32" s="67"/>
      <c r="C32" s="68"/>
      <c r="D32" s="69"/>
      <c r="E32" s="69">
        <v>120802</v>
      </c>
      <c r="F32" s="69" t="s">
        <v>175</v>
      </c>
      <c r="G32" s="69" t="s">
        <v>57</v>
      </c>
      <c r="H32" s="69">
        <v>1094000</v>
      </c>
      <c r="I32" s="69"/>
      <c r="J32" s="71"/>
      <c r="L32" s="110"/>
      <c r="M32" s="111"/>
      <c r="N32" s="112"/>
      <c r="O32" s="119" t="s">
        <v>359</v>
      </c>
      <c r="P32" s="119">
        <v>0.05</v>
      </c>
      <c r="Q32" s="119">
        <v>20</v>
      </c>
      <c r="R32" s="119">
        <f>P32*Q32</f>
        <v>1</v>
      </c>
      <c r="S32" s="119">
        <v>82.6</v>
      </c>
      <c r="T32" s="119">
        <f>R32*S32</f>
        <v>82.6</v>
      </c>
      <c r="U32" s="112" t="s">
        <v>338</v>
      </c>
    </row>
    <row r="33" spans="1:21" x14ac:dyDescent="0.25">
      <c r="A33" s="66"/>
      <c r="B33" s="67"/>
      <c r="C33" s="68"/>
      <c r="D33" s="69"/>
      <c r="E33" s="69">
        <v>120803</v>
      </c>
      <c r="F33" s="69" t="s">
        <v>176</v>
      </c>
      <c r="G33" s="69" t="s">
        <v>57</v>
      </c>
      <c r="H33" s="69">
        <v>1419000</v>
      </c>
      <c r="I33" s="69"/>
      <c r="J33" s="71"/>
      <c r="L33" s="110"/>
      <c r="M33" s="111"/>
      <c r="N33" s="112"/>
      <c r="O33" s="68" t="s">
        <v>360</v>
      </c>
      <c r="P33" s="68">
        <v>0.06</v>
      </c>
      <c r="Q33" s="68">
        <v>2365</v>
      </c>
      <c r="R33" s="68">
        <f>P33*Q33</f>
        <v>141.9</v>
      </c>
      <c r="S33" s="68">
        <v>0.82</v>
      </c>
      <c r="T33" s="68">
        <f>R33*S33</f>
        <v>116.358</v>
      </c>
      <c r="U33" s="112"/>
    </row>
    <row r="34" spans="1:21" x14ac:dyDescent="0.25">
      <c r="A34" s="66"/>
      <c r="B34" s="67"/>
      <c r="C34" s="68"/>
      <c r="D34" s="69"/>
      <c r="E34" s="69">
        <v>120804</v>
      </c>
      <c r="F34" s="69" t="s">
        <v>177</v>
      </c>
      <c r="G34" s="69" t="s">
        <v>57</v>
      </c>
      <c r="H34" s="69">
        <v>1644000</v>
      </c>
      <c r="I34" s="69"/>
      <c r="J34" s="71"/>
      <c r="L34" s="110"/>
      <c r="M34" s="111"/>
      <c r="N34" s="112"/>
      <c r="O34" s="68" t="s">
        <v>342</v>
      </c>
      <c r="P34" s="68">
        <v>0.01</v>
      </c>
      <c r="Q34" s="68">
        <v>1000</v>
      </c>
      <c r="R34" s="68">
        <f>P34*Q34</f>
        <v>10</v>
      </c>
      <c r="S34" s="68">
        <v>1.99</v>
      </c>
      <c r="T34" s="68">
        <f>R34*S34</f>
        <v>19.899999999999999</v>
      </c>
      <c r="U34" s="112"/>
    </row>
    <row r="35" spans="1:21" x14ac:dyDescent="0.25">
      <c r="A35" s="66"/>
      <c r="B35" s="67"/>
      <c r="C35" s="68"/>
      <c r="D35" s="69"/>
      <c r="E35" s="69">
        <v>120805</v>
      </c>
      <c r="F35" s="69" t="s">
        <v>178</v>
      </c>
      <c r="G35" s="69" t="s">
        <v>57</v>
      </c>
      <c r="H35" s="69">
        <v>2048000</v>
      </c>
      <c r="I35" s="69"/>
      <c r="J35" s="71"/>
      <c r="L35" s="113"/>
      <c r="M35" s="114"/>
      <c r="N35" s="115"/>
      <c r="O35" s="116"/>
      <c r="P35" s="116"/>
      <c r="Q35" s="116"/>
      <c r="R35" s="116"/>
      <c r="S35" s="116"/>
      <c r="T35" s="116">
        <f>SUM(T31:T34)</f>
        <v>320.45799999999997</v>
      </c>
      <c r="U35" s="115"/>
    </row>
    <row r="36" spans="1:21" x14ac:dyDescent="0.25">
      <c r="A36" s="66"/>
      <c r="B36" s="67"/>
      <c r="C36" s="68"/>
      <c r="D36" s="69"/>
      <c r="E36" s="69">
        <v>120806</v>
      </c>
      <c r="F36" s="69" t="s">
        <v>179</v>
      </c>
      <c r="G36" s="69" t="s">
        <v>57</v>
      </c>
      <c r="H36" s="69">
        <v>695500</v>
      </c>
      <c r="I36" s="69"/>
      <c r="J36" s="71"/>
    </row>
    <row r="37" spans="1:21" x14ac:dyDescent="0.25">
      <c r="A37" s="66"/>
      <c r="B37" s="67"/>
      <c r="C37" s="68"/>
      <c r="D37" s="69"/>
      <c r="E37" s="69">
        <v>120807</v>
      </c>
      <c r="F37" s="69" t="s">
        <v>180</v>
      </c>
      <c r="G37" s="69" t="s">
        <v>57</v>
      </c>
      <c r="H37" s="69">
        <v>940000</v>
      </c>
      <c r="I37" s="69"/>
      <c r="J37" s="71"/>
    </row>
    <row r="38" spans="1:21" x14ac:dyDescent="0.25">
      <c r="A38" s="66"/>
      <c r="B38" s="67"/>
      <c r="C38" s="68"/>
      <c r="D38" s="69" t="s">
        <v>147</v>
      </c>
      <c r="E38" s="69">
        <v>180201</v>
      </c>
      <c r="F38" s="70" t="s">
        <v>148</v>
      </c>
      <c r="G38" s="69" t="s">
        <v>57</v>
      </c>
      <c r="H38" s="69">
        <v>67200</v>
      </c>
      <c r="I38" s="69">
        <v>2</v>
      </c>
      <c r="J38" s="71"/>
    </row>
    <row r="39" spans="1:21" x14ac:dyDescent="0.25">
      <c r="A39" s="66"/>
      <c r="B39" s="67"/>
      <c r="C39" s="68"/>
      <c r="D39" s="69"/>
      <c r="E39" s="69">
        <v>180202</v>
      </c>
      <c r="F39" s="70" t="s">
        <v>149</v>
      </c>
      <c r="G39" s="69" t="s">
        <v>57</v>
      </c>
      <c r="H39" s="69">
        <v>206000</v>
      </c>
      <c r="I39" s="69">
        <v>2</v>
      </c>
      <c r="J39" s="71"/>
    </row>
    <row r="40" spans="1:21" x14ac:dyDescent="0.25">
      <c r="A40" s="66"/>
      <c r="B40" s="67"/>
      <c r="C40" s="68"/>
      <c r="D40" s="69" t="s">
        <v>150</v>
      </c>
      <c r="E40" s="69">
        <v>180215</v>
      </c>
      <c r="F40" s="70" t="s">
        <v>151</v>
      </c>
      <c r="G40" s="69" t="s">
        <v>57</v>
      </c>
      <c r="H40" s="69">
        <v>190500</v>
      </c>
      <c r="I40" s="69">
        <v>2</v>
      </c>
      <c r="J40" s="71"/>
    </row>
    <row r="41" spans="1:21" ht="19.5" thickBot="1" x14ac:dyDescent="0.3">
      <c r="A41" s="72"/>
      <c r="B41" s="73"/>
      <c r="C41" s="74"/>
      <c r="D41" s="75"/>
      <c r="E41" s="75"/>
      <c r="F41" s="75" t="s">
        <v>152</v>
      </c>
      <c r="G41" s="75" t="s">
        <v>57</v>
      </c>
      <c r="H41" s="76">
        <f>SUMPRODUCT(H31:H40,I31:I40)</f>
        <v>1756900</v>
      </c>
      <c r="I41" s="75"/>
      <c r="J41" s="77"/>
    </row>
    <row r="42" spans="1:21" x14ac:dyDescent="0.25">
      <c r="A42" s="61">
        <v>4.1100000000000003</v>
      </c>
      <c r="B42" s="62" t="s">
        <v>181</v>
      </c>
      <c r="C42" s="63" t="s">
        <v>182</v>
      </c>
      <c r="D42" s="64" t="s">
        <v>183</v>
      </c>
      <c r="E42" s="64">
        <v>120820</v>
      </c>
      <c r="F42" s="64" t="s">
        <v>184</v>
      </c>
      <c r="G42" s="64" t="s">
        <v>57</v>
      </c>
      <c r="H42" s="64">
        <v>1340000</v>
      </c>
      <c r="I42" s="64"/>
      <c r="J42" s="65"/>
    </row>
    <row r="43" spans="1:21" x14ac:dyDescent="0.25">
      <c r="A43" s="66"/>
      <c r="B43" s="67"/>
      <c r="C43" s="68"/>
      <c r="D43" s="69"/>
      <c r="E43" s="69">
        <v>120821</v>
      </c>
      <c r="F43" s="69" t="s">
        <v>185</v>
      </c>
      <c r="G43" s="69" t="s">
        <v>57</v>
      </c>
      <c r="H43" s="69">
        <v>1585000</v>
      </c>
      <c r="I43" s="69"/>
      <c r="J43" s="71"/>
    </row>
    <row r="44" spans="1:21" x14ac:dyDescent="0.25">
      <c r="A44" s="66"/>
      <c r="B44" s="67"/>
      <c r="C44" s="68"/>
      <c r="D44" s="69"/>
      <c r="E44" s="69">
        <v>120822</v>
      </c>
      <c r="F44" s="70" t="s">
        <v>186</v>
      </c>
      <c r="G44" s="69" t="s">
        <v>57</v>
      </c>
      <c r="H44" s="69">
        <v>1990000</v>
      </c>
      <c r="I44" s="69">
        <v>1</v>
      </c>
      <c r="J44" s="71"/>
    </row>
    <row r="45" spans="1:21" x14ac:dyDescent="0.25">
      <c r="A45" s="66"/>
      <c r="B45" s="67"/>
      <c r="C45" s="68"/>
      <c r="D45" s="69"/>
      <c r="E45" s="69">
        <v>120823</v>
      </c>
      <c r="F45" s="69" t="s">
        <v>187</v>
      </c>
      <c r="G45" s="69" t="s">
        <v>57</v>
      </c>
      <c r="H45" s="69">
        <v>2264000</v>
      </c>
      <c r="I45" s="69"/>
      <c r="J45" s="71"/>
    </row>
    <row r="46" spans="1:21" x14ac:dyDescent="0.25">
      <c r="A46" s="66"/>
      <c r="B46" s="67"/>
      <c r="C46" s="68"/>
      <c r="D46" s="68"/>
      <c r="E46" s="82" t="s">
        <v>188</v>
      </c>
      <c r="F46" s="69" t="s">
        <v>189</v>
      </c>
      <c r="G46" s="69" t="s">
        <v>57</v>
      </c>
      <c r="H46" s="69">
        <v>2715000</v>
      </c>
      <c r="I46" s="69"/>
      <c r="J46" s="71"/>
    </row>
    <row r="47" spans="1:21" x14ac:dyDescent="0.25">
      <c r="A47" s="66"/>
      <c r="B47" s="67"/>
      <c r="C47" s="68"/>
      <c r="D47" s="69" t="s">
        <v>150</v>
      </c>
      <c r="E47" s="69">
        <v>180215</v>
      </c>
      <c r="F47" s="70" t="s">
        <v>151</v>
      </c>
      <c r="G47" s="69" t="s">
        <v>57</v>
      </c>
      <c r="H47" s="69">
        <v>190500</v>
      </c>
      <c r="I47" s="69">
        <v>2</v>
      </c>
      <c r="J47" s="71"/>
    </row>
    <row r="48" spans="1:21" ht="19.5" thickBot="1" x14ac:dyDescent="0.3">
      <c r="A48" s="72"/>
      <c r="B48" s="73"/>
      <c r="C48" s="74"/>
      <c r="D48" s="74"/>
      <c r="E48" s="83"/>
      <c r="F48" s="75" t="s">
        <v>152</v>
      </c>
      <c r="G48" s="75" t="s">
        <v>57</v>
      </c>
      <c r="H48" s="76">
        <f>SUMPRODUCT(H42:H47,I42:I47)</f>
        <v>2371000</v>
      </c>
      <c r="I48" s="75"/>
      <c r="J48" s="77"/>
    </row>
    <row r="49" spans="1:10" x14ac:dyDescent="0.25">
      <c r="A49" s="61">
        <v>4.26</v>
      </c>
      <c r="B49" s="62" t="s">
        <v>190</v>
      </c>
      <c r="C49" s="63" t="s">
        <v>191</v>
      </c>
      <c r="D49" s="63" t="s">
        <v>192</v>
      </c>
      <c r="E49" s="84" t="s">
        <v>193</v>
      </c>
      <c r="F49" s="85" t="s">
        <v>194</v>
      </c>
      <c r="G49" s="64" t="s">
        <v>67</v>
      </c>
      <c r="H49" s="64">
        <v>502500</v>
      </c>
      <c r="I49" s="64">
        <v>2</v>
      </c>
      <c r="J49" s="65"/>
    </row>
    <row r="50" spans="1:10" x14ac:dyDescent="0.25">
      <c r="A50" s="66"/>
      <c r="B50" s="67"/>
      <c r="C50" s="68"/>
      <c r="D50" s="68" t="s">
        <v>195</v>
      </c>
      <c r="E50" s="82" t="s">
        <v>196</v>
      </c>
      <c r="F50" s="70" t="s">
        <v>197</v>
      </c>
      <c r="G50" s="69" t="s">
        <v>57</v>
      </c>
      <c r="H50" s="69">
        <v>430500</v>
      </c>
      <c r="I50" s="69">
        <v>2</v>
      </c>
      <c r="J50" s="71"/>
    </row>
    <row r="51" spans="1:10" x14ac:dyDescent="0.25">
      <c r="A51" s="66"/>
      <c r="B51" s="67"/>
      <c r="C51" s="68"/>
      <c r="D51" s="68"/>
      <c r="E51" s="82" t="s">
        <v>198</v>
      </c>
      <c r="F51" s="70" t="s">
        <v>199</v>
      </c>
      <c r="G51" s="69" t="s">
        <v>57</v>
      </c>
      <c r="H51" s="69">
        <v>74300</v>
      </c>
      <c r="I51" s="69">
        <v>2</v>
      </c>
      <c r="J51" s="71"/>
    </row>
    <row r="52" spans="1:10" x14ac:dyDescent="0.25">
      <c r="A52" s="66"/>
      <c r="B52" s="67"/>
      <c r="C52" s="68"/>
      <c r="D52" s="68"/>
      <c r="E52" s="82" t="s">
        <v>200</v>
      </c>
      <c r="F52" s="70" t="s">
        <v>201</v>
      </c>
      <c r="G52" s="69" t="s">
        <v>57</v>
      </c>
      <c r="H52" s="69">
        <v>105500</v>
      </c>
      <c r="I52" s="69">
        <v>2</v>
      </c>
      <c r="J52" s="71"/>
    </row>
    <row r="53" spans="1:10" x14ac:dyDescent="0.25">
      <c r="A53" s="66"/>
      <c r="B53" s="67"/>
      <c r="C53" s="68"/>
      <c r="D53" s="68"/>
      <c r="E53" s="82" t="s">
        <v>202</v>
      </c>
      <c r="F53" s="70" t="s">
        <v>203</v>
      </c>
      <c r="G53" s="69" t="s">
        <v>57</v>
      </c>
      <c r="H53" s="69">
        <v>70300</v>
      </c>
      <c r="I53" s="69">
        <v>2</v>
      </c>
      <c r="J53" s="71"/>
    </row>
    <row r="54" spans="1:10" x14ac:dyDescent="0.25">
      <c r="A54" s="66"/>
      <c r="B54" s="67"/>
      <c r="C54" s="68"/>
      <c r="D54" s="68" t="s">
        <v>204</v>
      </c>
      <c r="E54" s="82">
        <v>140119</v>
      </c>
      <c r="F54" s="70" t="s">
        <v>205</v>
      </c>
      <c r="G54" s="69" t="s">
        <v>57</v>
      </c>
      <c r="H54" s="69">
        <v>372000</v>
      </c>
      <c r="I54" s="69">
        <v>1</v>
      </c>
      <c r="J54" s="71"/>
    </row>
    <row r="55" spans="1:10" x14ac:dyDescent="0.25">
      <c r="A55" s="66"/>
      <c r="B55" s="67"/>
      <c r="C55" s="68"/>
      <c r="D55" s="68"/>
      <c r="E55" s="82">
        <v>140120</v>
      </c>
      <c r="F55" s="53" t="s">
        <v>206</v>
      </c>
      <c r="G55" s="69" t="s">
        <v>67</v>
      </c>
      <c r="H55" s="69">
        <v>185000</v>
      </c>
      <c r="I55" s="69"/>
      <c r="J55" s="71"/>
    </row>
    <row r="56" spans="1:10" ht="19.5" thickBot="1" x14ac:dyDescent="0.3">
      <c r="A56" s="72"/>
      <c r="B56" s="73"/>
      <c r="C56" s="74"/>
      <c r="D56" s="74"/>
      <c r="E56" s="83"/>
      <c r="F56" s="75" t="s">
        <v>152</v>
      </c>
      <c r="G56" s="75" t="s">
        <v>57</v>
      </c>
      <c r="H56" s="76">
        <f>SUMPRODUCT(H49:H55,I49:I55)</f>
        <v>2738200</v>
      </c>
      <c r="I56" s="75"/>
      <c r="J56" s="77"/>
    </row>
    <row r="57" spans="1:10" ht="36" x14ac:dyDescent="0.25">
      <c r="A57" s="61">
        <v>4.28</v>
      </c>
      <c r="B57" s="62" t="s">
        <v>207</v>
      </c>
      <c r="C57" s="86" t="s">
        <v>208</v>
      </c>
      <c r="D57" s="63" t="s">
        <v>209</v>
      </c>
      <c r="E57" s="84" t="s">
        <v>210</v>
      </c>
      <c r="F57" s="91" t="s">
        <v>211</v>
      </c>
      <c r="G57" s="64" t="s">
        <v>57</v>
      </c>
      <c r="H57" s="64">
        <v>964500</v>
      </c>
      <c r="I57" s="64">
        <v>1</v>
      </c>
      <c r="J57" s="65"/>
    </row>
    <row r="58" spans="1:10" ht="36" x14ac:dyDescent="0.25">
      <c r="A58" s="66"/>
      <c r="B58" s="67"/>
      <c r="C58" s="88"/>
      <c r="D58" s="68"/>
      <c r="E58" s="82" t="s">
        <v>212</v>
      </c>
      <c r="F58" s="92" t="s">
        <v>213</v>
      </c>
      <c r="G58" s="69" t="s">
        <v>57</v>
      </c>
      <c r="H58" s="69">
        <v>1418000</v>
      </c>
      <c r="I58" s="69"/>
      <c r="J58" s="71"/>
    </row>
    <row r="59" spans="1:10" x14ac:dyDescent="0.25">
      <c r="A59" s="66"/>
      <c r="B59" s="67"/>
      <c r="C59" s="88"/>
      <c r="D59" s="68" t="s">
        <v>214</v>
      </c>
      <c r="E59" s="82" t="s">
        <v>215</v>
      </c>
      <c r="F59" s="70" t="s">
        <v>216</v>
      </c>
      <c r="G59" s="69" t="s">
        <v>57</v>
      </c>
      <c r="H59" s="69">
        <v>125000</v>
      </c>
      <c r="I59" s="69">
        <v>2</v>
      </c>
      <c r="J59" s="71"/>
    </row>
    <row r="60" spans="1:10" x14ac:dyDescent="0.25">
      <c r="A60" s="66"/>
      <c r="B60" s="67"/>
      <c r="C60" s="88"/>
      <c r="D60" s="68"/>
      <c r="E60" s="82" t="s">
        <v>217</v>
      </c>
      <c r="F60" s="69" t="s">
        <v>218</v>
      </c>
      <c r="G60" s="69" t="s">
        <v>57</v>
      </c>
      <c r="H60" s="69">
        <v>92000</v>
      </c>
      <c r="I60" s="69"/>
      <c r="J60" s="71"/>
    </row>
    <row r="61" spans="1:10" x14ac:dyDescent="0.25">
      <c r="A61" s="66"/>
      <c r="B61" s="67"/>
      <c r="C61" s="88"/>
      <c r="D61" s="69" t="s">
        <v>150</v>
      </c>
      <c r="E61" s="69">
        <v>180215</v>
      </c>
      <c r="F61" s="70" t="s">
        <v>151</v>
      </c>
      <c r="G61" s="69" t="s">
        <v>57</v>
      </c>
      <c r="H61" s="69">
        <v>190500</v>
      </c>
      <c r="I61" s="69">
        <v>2</v>
      </c>
      <c r="J61" s="71"/>
    </row>
    <row r="62" spans="1:10" ht="19.5" thickBot="1" x14ac:dyDescent="0.3">
      <c r="A62" s="72"/>
      <c r="B62" s="73"/>
      <c r="C62" s="90"/>
      <c r="D62" s="74"/>
      <c r="E62" s="83"/>
      <c r="F62" s="75" t="s">
        <v>152</v>
      </c>
      <c r="G62" s="75" t="s">
        <v>57</v>
      </c>
      <c r="H62" s="76">
        <f>SUMPRODUCT(H57:H61,I57:I61)</f>
        <v>1595500</v>
      </c>
      <c r="I62" s="75"/>
      <c r="J62" s="7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
  <sheetViews>
    <sheetView rightToLeft="1" topLeftCell="G11" zoomScale="70" zoomScaleNormal="70" workbookViewId="0">
      <selection activeCell="R5" sqref="R5"/>
    </sheetView>
  </sheetViews>
  <sheetFormatPr defaultRowHeight="18.75" x14ac:dyDescent="0.25"/>
  <cols>
    <col min="1" max="1" width="9.140625" style="20"/>
    <col min="2" max="2" width="31.28515625" style="20" bestFit="1" customWidth="1"/>
    <col min="3" max="3" width="25.5703125" style="22" customWidth="1"/>
    <col min="4" max="4" width="22.42578125" style="22" bestFit="1" customWidth="1"/>
    <col min="5" max="5" width="16.28515625" style="22" bestFit="1" customWidth="1"/>
    <col min="6" max="6" width="121.85546875" style="22" bestFit="1" customWidth="1"/>
    <col min="7" max="7" width="8.85546875" style="22" customWidth="1"/>
    <col min="8" max="8" width="13.42578125" style="22" bestFit="1" customWidth="1"/>
    <col min="9" max="9" width="7.85546875" style="22" customWidth="1"/>
    <col min="10" max="10" width="12.28515625" style="22" bestFit="1" customWidth="1"/>
    <col min="11" max="11" width="9.140625" style="135"/>
    <col min="12" max="12" width="9.140625" style="20"/>
    <col min="13" max="13" width="27.7109375" style="20" bestFit="1" customWidth="1"/>
    <col min="14" max="14" width="17" style="20" bestFit="1" customWidth="1"/>
    <col min="15" max="15" width="16.140625" style="20" bestFit="1" customWidth="1"/>
    <col min="16" max="21" width="9.140625" style="20"/>
    <col min="22" max="22" width="9.140625" style="135"/>
    <col min="23" max="16384" width="9.140625" style="20"/>
  </cols>
  <sheetData>
    <row r="1" spans="1:21" ht="38.25" customHeight="1" x14ac:dyDescent="0.45">
      <c r="A1" s="59" t="s">
        <v>233</v>
      </c>
      <c r="B1" s="60" t="s">
        <v>234</v>
      </c>
      <c r="C1"/>
      <c r="D1" s="93"/>
      <c r="E1" s="93"/>
      <c r="F1" s="93"/>
      <c r="G1" s="93"/>
      <c r="H1" s="93"/>
      <c r="I1" s="93"/>
      <c r="J1" s="93"/>
      <c r="L1" s="59" t="s">
        <v>233</v>
      </c>
      <c r="M1" s="60" t="s">
        <v>234</v>
      </c>
      <c r="N1"/>
      <c r="O1"/>
      <c r="P1"/>
      <c r="Q1"/>
      <c r="R1"/>
      <c r="S1"/>
    </row>
    <row r="2" spans="1:21" ht="21.75" thickBot="1" x14ac:dyDescent="0.3">
      <c r="A2" s="20" t="s">
        <v>43</v>
      </c>
      <c r="B2" s="20" t="s">
        <v>44</v>
      </c>
      <c r="C2" s="22" t="s">
        <v>45</v>
      </c>
      <c r="D2" s="22" t="s">
        <v>46</v>
      </c>
      <c r="E2" s="22" t="s">
        <v>47</v>
      </c>
      <c r="F2" s="22" t="s">
        <v>48</v>
      </c>
      <c r="G2" s="22" t="s">
        <v>49</v>
      </c>
      <c r="H2" s="22" t="s">
        <v>50</v>
      </c>
      <c r="I2" s="22" t="s">
        <v>51</v>
      </c>
      <c r="J2" s="22" t="s">
        <v>52</v>
      </c>
      <c r="L2" s="106" t="s">
        <v>43</v>
      </c>
      <c r="M2" s="131" t="s">
        <v>44</v>
      </c>
      <c r="N2" s="109" t="s">
        <v>45</v>
      </c>
      <c r="O2" s="109" t="s">
        <v>318</v>
      </c>
      <c r="P2" s="109" t="s">
        <v>319</v>
      </c>
      <c r="Q2" s="109" t="s">
        <v>320</v>
      </c>
      <c r="R2" s="109" t="s">
        <v>321</v>
      </c>
      <c r="S2" s="109" t="s">
        <v>322</v>
      </c>
      <c r="T2" s="109" t="s">
        <v>323</v>
      </c>
      <c r="U2" s="108" t="s">
        <v>324</v>
      </c>
    </row>
    <row r="3" spans="1:21" x14ac:dyDescent="0.25">
      <c r="A3" s="61">
        <v>5.01</v>
      </c>
      <c r="B3" s="62" t="s">
        <v>235</v>
      </c>
      <c r="C3" s="63" t="s">
        <v>14</v>
      </c>
      <c r="D3" s="63" t="s">
        <v>236</v>
      </c>
      <c r="E3" s="63">
        <v>200321</v>
      </c>
      <c r="F3" s="63" t="s">
        <v>237</v>
      </c>
      <c r="G3" s="63" t="s">
        <v>57</v>
      </c>
      <c r="H3" s="63">
        <v>1215000</v>
      </c>
      <c r="I3" s="63"/>
      <c r="J3" s="94"/>
      <c r="L3" s="106">
        <v>5.01</v>
      </c>
      <c r="M3" s="131" t="s">
        <v>235</v>
      </c>
      <c r="N3" s="109" t="s">
        <v>14</v>
      </c>
      <c r="O3" s="109" t="s">
        <v>361</v>
      </c>
      <c r="P3" s="109">
        <v>0.01</v>
      </c>
      <c r="Q3" s="109">
        <v>2000</v>
      </c>
      <c r="R3" s="109">
        <f>P3*Q3</f>
        <v>20</v>
      </c>
      <c r="S3" s="109">
        <v>7.96</v>
      </c>
      <c r="T3" s="109">
        <f>R3*S3</f>
        <v>159.19999999999999</v>
      </c>
      <c r="U3" s="108">
        <v>199</v>
      </c>
    </row>
    <row r="4" spans="1:21" x14ac:dyDescent="0.25">
      <c r="A4" s="66"/>
      <c r="B4" s="67"/>
      <c r="C4" s="68"/>
      <c r="D4" s="68"/>
      <c r="E4" s="68">
        <v>200322</v>
      </c>
      <c r="F4" s="36" t="s">
        <v>238</v>
      </c>
      <c r="G4" s="68" t="s">
        <v>57</v>
      </c>
      <c r="H4" s="68">
        <v>1313000</v>
      </c>
      <c r="I4" s="68">
        <v>1</v>
      </c>
      <c r="J4" s="95"/>
      <c r="L4" s="110"/>
      <c r="M4" s="67"/>
      <c r="N4" s="68"/>
      <c r="O4" s="68" t="s">
        <v>362</v>
      </c>
      <c r="P4" s="68">
        <v>0.01</v>
      </c>
      <c r="Q4" s="68">
        <v>1174</v>
      </c>
      <c r="R4" s="68">
        <f>P4*Q4</f>
        <v>11.74</v>
      </c>
      <c r="S4" s="68">
        <v>2.4300000000000002</v>
      </c>
      <c r="T4" s="68">
        <f>R4*S4</f>
        <v>28.528200000000002</v>
      </c>
      <c r="U4" s="112" t="s">
        <v>363</v>
      </c>
    </row>
    <row r="5" spans="1:21" x14ac:dyDescent="0.25">
      <c r="A5" s="66"/>
      <c r="B5" s="67"/>
      <c r="C5" s="68"/>
      <c r="D5" s="68"/>
      <c r="E5" s="68">
        <v>200323</v>
      </c>
      <c r="F5" s="68" t="s">
        <v>239</v>
      </c>
      <c r="G5" s="68" t="s">
        <v>57</v>
      </c>
      <c r="H5" s="68">
        <v>1305000</v>
      </c>
      <c r="I5" s="68"/>
      <c r="J5" s="95"/>
      <c r="L5" s="110"/>
      <c r="M5" s="67"/>
      <c r="N5" s="68"/>
      <c r="O5" s="68" t="s">
        <v>364</v>
      </c>
      <c r="P5" s="68">
        <v>5.0000000000000001E-3</v>
      </c>
      <c r="Q5" s="68">
        <v>1590</v>
      </c>
      <c r="R5" s="68">
        <f>P5*Q5</f>
        <v>7.95</v>
      </c>
      <c r="S5" s="68">
        <v>1.26</v>
      </c>
      <c r="T5" s="68">
        <f>R5*S5</f>
        <v>10.016999999999999</v>
      </c>
      <c r="U5" s="112"/>
    </row>
    <row r="6" spans="1:21" x14ac:dyDescent="0.25">
      <c r="A6" s="66"/>
      <c r="B6" s="67"/>
      <c r="C6" s="68"/>
      <c r="D6" s="68"/>
      <c r="E6" s="68">
        <v>200324</v>
      </c>
      <c r="F6" s="68" t="s">
        <v>240</v>
      </c>
      <c r="G6" s="68" t="s">
        <v>57</v>
      </c>
      <c r="H6" s="68">
        <v>1401000</v>
      </c>
      <c r="I6" s="68"/>
      <c r="J6" s="95"/>
      <c r="L6" s="113"/>
      <c r="M6" s="132"/>
      <c r="N6" s="116" t="s">
        <v>152</v>
      </c>
      <c r="O6" s="116"/>
      <c r="P6" s="116"/>
      <c r="Q6" s="116"/>
      <c r="R6" s="116"/>
      <c r="S6" s="116"/>
      <c r="T6" s="116">
        <f>SUM(T3:T5)</f>
        <v>197.74519999999998</v>
      </c>
      <c r="U6" s="115"/>
    </row>
    <row r="7" spans="1:21" x14ac:dyDescent="0.25">
      <c r="A7" s="66"/>
      <c r="B7" s="67"/>
      <c r="C7" s="68"/>
      <c r="D7" s="68"/>
      <c r="E7" s="68">
        <v>200325</v>
      </c>
      <c r="F7" s="68" t="s">
        <v>241</v>
      </c>
      <c r="G7" s="68" t="s">
        <v>57</v>
      </c>
      <c r="H7" s="68">
        <v>1693000</v>
      </c>
      <c r="I7" s="68"/>
      <c r="J7" s="95"/>
      <c r="L7" s="110">
        <v>5.0199999999999996</v>
      </c>
      <c r="M7" s="43" t="s">
        <v>243</v>
      </c>
      <c r="N7" s="68" t="s">
        <v>244</v>
      </c>
      <c r="O7" s="68" t="s">
        <v>365</v>
      </c>
      <c r="P7" s="68" t="s">
        <v>327</v>
      </c>
      <c r="Q7" s="68" t="s">
        <v>327</v>
      </c>
      <c r="R7" s="68">
        <v>3.2</v>
      </c>
      <c r="S7" s="68">
        <v>51.8</v>
      </c>
      <c r="T7" s="68">
        <f>R7*S7</f>
        <v>165.76</v>
      </c>
      <c r="U7" s="112">
        <v>164</v>
      </c>
    </row>
    <row r="8" spans="1:21" x14ac:dyDescent="0.25">
      <c r="A8" s="66"/>
      <c r="B8" s="67"/>
      <c r="C8" s="68"/>
      <c r="D8" s="68"/>
      <c r="E8" s="68">
        <v>200326</v>
      </c>
      <c r="F8" s="68" t="s">
        <v>242</v>
      </c>
      <c r="G8" s="68" t="s">
        <v>57</v>
      </c>
      <c r="H8" s="68">
        <v>1795000</v>
      </c>
      <c r="I8" s="68"/>
      <c r="J8" s="95"/>
      <c r="L8" s="110"/>
      <c r="M8" s="67"/>
      <c r="N8" s="68"/>
      <c r="O8" s="119" t="s">
        <v>364</v>
      </c>
      <c r="P8" s="68"/>
      <c r="Q8" s="68"/>
      <c r="R8" s="68"/>
      <c r="S8" s="68"/>
      <c r="T8" s="68"/>
      <c r="U8" s="112" t="s">
        <v>366</v>
      </c>
    </row>
    <row r="9" spans="1:21" ht="19.5" thickBot="1" x14ac:dyDescent="0.3">
      <c r="A9" s="72"/>
      <c r="B9" s="73"/>
      <c r="C9" s="74"/>
      <c r="D9" s="74"/>
      <c r="E9" s="74"/>
      <c r="F9" s="74" t="s">
        <v>152</v>
      </c>
      <c r="G9" s="74" t="s">
        <v>57</v>
      </c>
      <c r="H9" s="96">
        <f>SUMPRODUCT(H3:H8,I3:I8)</f>
        <v>1313000</v>
      </c>
      <c r="I9" s="74"/>
      <c r="J9" s="97"/>
      <c r="L9" s="110"/>
      <c r="M9" s="67"/>
      <c r="N9" s="68"/>
      <c r="O9" s="119" t="s">
        <v>367</v>
      </c>
      <c r="P9" s="68"/>
      <c r="Q9" s="68"/>
      <c r="R9" s="68"/>
      <c r="S9" s="68"/>
      <c r="T9" s="68"/>
      <c r="U9" s="112"/>
    </row>
    <row r="10" spans="1:21" x14ac:dyDescent="0.25">
      <c r="A10" s="61">
        <v>5.0199999999999996</v>
      </c>
      <c r="B10" s="62" t="s">
        <v>243</v>
      </c>
      <c r="C10" s="63" t="s">
        <v>244</v>
      </c>
      <c r="D10" s="63" t="s">
        <v>245</v>
      </c>
      <c r="E10" s="63">
        <v>230110</v>
      </c>
      <c r="F10" s="63" t="s">
        <v>246</v>
      </c>
      <c r="G10" s="63" t="s">
        <v>57</v>
      </c>
      <c r="H10" s="63">
        <v>953500</v>
      </c>
      <c r="I10" s="63"/>
      <c r="J10" s="94"/>
      <c r="L10" s="110"/>
      <c r="M10" s="67"/>
      <c r="N10" s="68"/>
      <c r="O10" s="68"/>
      <c r="P10" s="68"/>
      <c r="Q10" s="68"/>
      <c r="R10" s="68"/>
      <c r="S10" s="68"/>
      <c r="T10" s="68"/>
      <c r="U10" s="112"/>
    </row>
    <row r="11" spans="1:21" x14ac:dyDescent="0.25">
      <c r="A11" s="66"/>
      <c r="B11" s="67"/>
      <c r="C11" s="68"/>
      <c r="D11" s="68"/>
      <c r="E11" s="68">
        <v>230111</v>
      </c>
      <c r="F11" s="68" t="s">
        <v>247</v>
      </c>
      <c r="G11" s="68" t="s">
        <v>57</v>
      </c>
      <c r="H11" s="68">
        <v>472500</v>
      </c>
      <c r="I11" s="68"/>
      <c r="J11" s="95"/>
      <c r="L11" s="106">
        <v>5.03</v>
      </c>
      <c r="M11" s="131" t="s">
        <v>254</v>
      </c>
      <c r="N11" s="109" t="s">
        <v>255</v>
      </c>
      <c r="O11" s="109" t="s">
        <v>368</v>
      </c>
      <c r="P11" s="109">
        <v>0.01</v>
      </c>
      <c r="Q11" s="109">
        <v>2600</v>
      </c>
      <c r="R11" s="109">
        <f>P11*Q11</f>
        <v>26</v>
      </c>
      <c r="S11" s="109">
        <v>8.6</v>
      </c>
      <c r="T11" s="109">
        <f>R11*S11</f>
        <v>223.6</v>
      </c>
      <c r="U11" s="108">
        <v>264</v>
      </c>
    </row>
    <row r="12" spans="1:21" x14ac:dyDescent="0.25">
      <c r="A12" s="66"/>
      <c r="B12" s="67"/>
      <c r="C12" s="68"/>
      <c r="D12" s="68"/>
      <c r="E12" s="68">
        <v>230112</v>
      </c>
      <c r="F12" s="68" t="s">
        <v>248</v>
      </c>
      <c r="G12" s="68" t="s">
        <v>57</v>
      </c>
      <c r="H12" s="68">
        <v>1559000</v>
      </c>
      <c r="I12" s="68"/>
      <c r="J12" s="95"/>
      <c r="L12" s="110"/>
      <c r="M12" s="67"/>
      <c r="N12" s="68"/>
      <c r="O12" s="68" t="s">
        <v>362</v>
      </c>
      <c r="P12" s="68">
        <v>0.01</v>
      </c>
      <c r="Q12" s="68">
        <v>1174</v>
      </c>
      <c r="R12" s="68">
        <f>P12*Q12</f>
        <v>11.74</v>
      </c>
      <c r="S12" s="68">
        <v>2.4300000000000002</v>
      </c>
      <c r="T12" s="68">
        <f>R12*S12</f>
        <v>28.528200000000002</v>
      </c>
      <c r="U12" s="112" t="s">
        <v>369</v>
      </c>
    </row>
    <row r="13" spans="1:21" x14ac:dyDescent="0.25">
      <c r="A13" s="66"/>
      <c r="B13" s="67"/>
      <c r="C13" s="68"/>
      <c r="D13" s="68"/>
      <c r="E13" s="68">
        <v>230113</v>
      </c>
      <c r="F13" s="68" t="s">
        <v>249</v>
      </c>
      <c r="G13" s="68" t="s">
        <v>57</v>
      </c>
      <c r="H13" s="68">
        <v>179500</v>
      </c>
      <c r="I13" s="68"/>
      <c r="J13" s="95"/>
      <c r="L13" s="110"/>
      <c r="M13" s="67"/>
      <c r="N13" s="68"/>
      <c r="O13" s="68" t="s">
        <v>364</v>
      </c>
      <c r="P13" s="68">
        <v>5.0000000000000001E-3</v>
      </c>
      <c r="Q13" s="68">
        <v>1590</v>
      </c>
      <c r="R13" s="68">
        <f>P13*Q13</f>
        <v>7.95</v>
      </c>
      <c r="S13" s="68">
        <v>1.26</v>
      </c>
      <c r="T13" s="68">
        <f>R13*S13</f>
        <v>10.016999999999999</v>
      </c>
      <c r="U13" s="112"/>
    </row>
    <row r="14" spans="1:21" x14ac:dyDescent="0.25">
      <c r="A14" s="66"/>
      <c r="B14" s="67"/>
      <c r="C14" s="68"/>
      <c r="D14" s="68"/>
      <c r="E14" s="68">
        <v>230114</v>
      </c>
      <c r="F14" s="36" t="s">
        <v>250</v>
      </c>
      <c r="G14" s="68" t="s">
        <v>57</v>
      </c>
      <c r="H14" s="68">
        <v>1653000</v>
      </c>
      <c r="I14" s="68">
        <v>1</v>
      </c>
      <c r="J14" s="95"/>
      <c r="L14" s="113"/>
      <c r="M14" s="132"/>
      <c r="N14" s="116"/>
      <c r="O14" s="116"/>
      <c r="P14" s="116"/>
      <c r="Q14" s="116"/>
      <c r="R14" s="116"/>
      <c r="S14" s="116"/>
      <c r="T14" s="116">
        <f>SUM(T11:T13)</f>
        <v>262.14519999999999</v>
      </c>
      <c r="U14" s="115"/>
    </row>
    <row r="15" spans="1:21" x14ac:dyDescent="0.25">
      <c r="A15" s="66"/>
      <c r="B15" s="67"/>
      <c r="C15" s="68"/>
      <c r="D15" s="68"/>
      <c r="E15" s="68">
        <v>230115</v>
      </c>
      <c r="F15" s="68" t="s">
        <v>251</v>
      </c>
      <c r="G15" s="68" t="s">
        <v>57</v>
      </c>
      <c r="H15" s="68">
        <v>430000</v>
      </c>
      <c r="I15" s="68"/>
      <c r="J15" s="95"/>
      <c r="L15" s="110">
        <v>5.04</v>
      </c>
      <c r="M15" s="67" t="s">
        <v>370</v>
      </c>
      <c r="N15" s="68" t="s">
        <v>13</v>
      </c>
      <c r="O15" s="68" t="s">
        <v>371</v>
      </c>
      <c r="P15" s="68">
        <v>0.02</v>
      </c>
      <c r="Q15" s="68">
        <v>2365</v>
      </c>
      <c r="R15" s="68">
        <f>P15*Q15</f>
        <v>47.300000000000004</v>
      </c>
      <c r="S15" s="68">
        <v>1.45</v>
      </c>
      <c r="T15" s="68">
        <f>R15*S15</f>
        <v>68.585000000000008</v>
      </c>
      <c r="U15" s="112">
        <v>70</v>
      </c>
    </row>
    <row r="16" spans="1:21" x14ac:dyDescent="0.25">
      <c r="A16" s="66"/>
      <c r="B16" s="67"/>
      <c r="C16" s="68"/>
      <c r="D16" s="68"/>
      <c r="E16" s="68">
        <v>230116</v>
      </c>
      <c r="F16" s="68" t="s">
        <v>252</v>
      </c>
      <c r="G16" s="68" t="s">
        <v>57</v>
      </c>
      <c r="H16" s="68">
        <v>1844000</v>
      </c>
      <c r="I16" s="68"/>
      <c r="J16" s="95"/>
      <c r="L16" s="110"/>
      <c r="M16" s="67"/>
      <c r="N16" s="68"/>
      <c r="O16" s="68"/>
      <c r="P16" s="68"/>
      <c r="Q16" s="68"/>
      <c r="R16" s="68"/>
      <c r="S16" s="68"/>
      <c r="T16" s="68"/>
      <c r="U16" s="112" t="s">
        <v>372</v>
      </c>
    </row>
    <row r="17" spans="1:21" x14ac:dyDescent="0.25">
      <c r="A17" s="66"/>
      <c r="B17" s="67"/>
      <c r="C17" s="68"/>
      <c r="D17" s="68"/>
      <c r="E17" s="68">
        <v>230117</v>
      </c>
      <c r="F17" s="68" t="s">
        <v>253</v>
      </c>
      <c r="G17" s="68" t="s">
        <v>57</v>
      </c>
      <c r="H17" s="68">
        <v>2131000</v>
      </c>
      <c r="I17" s="68"/>
      <c r="J17" s="95"/>
      <c r="L17" s="110"/>
      <c r="M17" s="67"/>
      <c r="N17" s="68"/>
      <c r="O17" s="68"/>
      <c r="P17" s="68"/>
      <c r="Q17" s="68"/>
      <c r="R17" s="68"/>
      <c r="S17" s="68"/>
      <c r="T17" s="68"/>
      <c r="U17" s="112"/>
    </row>
    <row r="18" spans="1:21" ht="19.5" thickBot="1" x14ac:dyDescent="0.3">
      <c r="A18" s="72"/>
      <c r="B18" s="73"/>
      <c r="C18" s="74"/>
      <c r="D18" s="74"/>
      <c r="E18" s="74"/>
      <c r="F18" s="74" t="s">
        <v>152</v>
      </c>
      <c r="G18" s="74" t="s">
        <v>57</v>
      </c>
      <c r="H18" s="96">
        <f>SUMPRODUCT(H10:H17,I10:I17)</f>
        <v>1653000</v>
      </c>
      <c r="I18" s="74"/>
      <c r="J18" s="97"/>
      <c r="L18" s="110"/>
      <c r="M18" s="67"/>
      <c r="N18" s="68"/>
      <c r="O18" s="68"/>
      <c r="P18" s="68"/>
      <c r="Q18" s="68"/>
      <c r="R18" s="68"/>
      <c r="S18" s="68"/>
      <c r="T18" s="68"/>
      <c r="U18" s="112"/>
    </row>
    <row r="19" spans="1:21" x14ac:dyDescent="0.25">
      <c r="A19" s="61">
        <v>5.03</v>
      </c>
      <c r="B19" s="62" t="s">
        <v>254</v>
      </c>
      <c r="C19" s="63" t="s">
        <v>255</v>
      </c>
      <c r="D19" s="63" t="s">
        <v>256</v>
      </c>
      <c r="E19" s="63" t="s">
        <v>257</v>
      </c>
      <c r="F19" s="63" t="s">
        <v>258</v>
      </c>
      <c r="G19" s="63" t="s">
        <v>57</v>
      </c>
      <c r="H19" s="63">
        <v>2753000</v>
      </c>
      <c r="I19" s="63"/>
      <c r="J19" s="94"/>
      <c r="L19" s="106">
        <v>5.0599999999999996</v>
      </c>
      <c r="M19" s="131" t="s">
        <v>275</v>
      </c>
      <c r="N19" s="109" t="s">
        <v>373</v>
      </c>
      <c r="O19" s="109" t="s">
        <v>374</v>
      </c>
      <c r="P19" s="109">
        <v>0.02</v>
      </c>
      <c r="Q19" s="109">
        <v>1580</v>
      </c>
      <c r="R19" s="109">
        <f>P19*Q19</f>
        <v>31.6</v>
      </c>
      <c r="S19" s="109">
        <v>1.88</v>
      </c>
      <c r="T19" s="109">
        <f>R19*S19</f>
        <v>59.408000000000001</v>
      </c>
      <c r="U19" s="108">
        <v>99</v>
      </c>
    </row>
    <row r="20" spans="1:21" x14ac:dyDescent="0.25">
      <c r="A20" s="66"/>
      <c r="B20" s="67"/>
      <c r="C20" s="68"/>
      <c r="D20" s="68"/>
      <c r="E20" s="68" t="s">
        <v>259</v>
      </c>
      <c r="F20" s="68" t="s">
        <v>260</v>
      </c>
      <c r="G20" s="68" t="s">
        <v>57</v>
      </c>
      <c r="H20" s="68">
        <v>1970000</v>
      </c>
      <c r="I20" s="68"/>
      <c r="J20" s="95"/>
      <c r="L20" s="110"/>
      <c r="M20" s="67"/>
      <c r="N20" s="68"/>
      <c r="O20" s="68" t="s">
        <v>362</v>
      </c>
      <c r="P20" s="68">
        <v>0.01</v>
      </c>
      <c r="Q20" s="68">
        <v>1174</v>
      </c>
      <c r="R20" s="68">
        <f>P20*Q20</f>
        <v>11.74</v>
      </c>
      <c r="S20" s="68">
        <v>2.4300000000000002</v>
      </c>
      <c r="T20" s="68">
        <f>R20*S20</f>
        <v>28.528200000000002</v>
      </c>
      <c r="U20" s="112" t="s">
        <v>369</v>
      </c>
    </row>
    <row r="21" spans="1:21" x14ac:dyDescent="0.25">
      <c r="A21" s="66"/>
      <c r="B21" s="67"/>
      <c r="C21" s="68"/>
      <c r="D21" s="68"/>
      <c r="E21" s="68" t="s">
        <v>261</v>
      </c>
      <c r="F21" s="68" t="s">
        <v>262</v>
      </c>
      <c r="G21" s="68" t="s">
        <v>57</v>
      </c>
      <c r="H21" s="68">
        <v>2252000</v>
      </c>
      <c r="I21" s="68"/>
      <c r="J21" s="95"/>
      <c r="L21" s="110"/>
      <c r="M21" s="67"/>
      <c r="N21" s="68"/>
      <c r="O21" s="68" t="s">
        <v>364</v>
      </c>
      <c r="P21" s="68">
        <v>5.0000000000000001E-3</v>
      </c>
      <c r="Q21" s="68">
        <v>1590</v>
      </c>
      <c r="R21" s="68">
        <f>P21*Q21</f>
        <v>7.95</v>
      </c>
      <c r="S21" s="68">
        <v>1.26</v>
      </c>
      <c r="T21" s="68">
        <f>R21*S21</f>
        <v>10.016999999999999</v>
      </c>
      <c r="U21" s="112"/>
    </row>
    <row r="22" spans="1:21" x14ac:dyDescent="0.25">
      <c r="A22" s="66"/>
      <c r="B22" s="67"/>
      <c r="C22" s="68"/>
      <c r="D22" s="68"/>
      <c r="E22" s="68" t="s">
        <v>263</v>
      </c>
      <c r="F22" s="68" t="s">
        <v>264</v>
      </c>
      <c r="G22" s="68" t="s">
        <v>57</v>
      </c>
      <c r="H22" s="68">
        <v>2894000</v>
      </c>
      <c r="I22" s="68"/>
      <c r="J22" s="95"/>
      <c r="L22" s="113"/>
      <c r="M22" s="132"/>
      <c r="N22" s="116"/>
      <c r="O22" s="116"/>
      <c r="P22" s="116"/>
      <c r="Q22" s="116"/>
      <c r="R22" s="116"/>
      <c r="S22" s="116"/>
      <c r="T22" s="116">
        <f>SUM(T19:T21)</f>
        <v>97.953199999999995</v>
      </c>
      <c r="U22" s="115"/>
    </row>
    <row r="23" spans="1:21" x14ac:dyDescent="0.25">
      <c r="A23" s="66"/>
      <c r="B23" s="67"/>
      <c r="C23" s="68"/>
      <c r="D23" s="68"/>
      <c r="E23" s="68" t="s">
        <v>265</v>
      </c>
      <c r="F23" s="68" t="s">
        <v>266</v>
      </c>
      <c r="G23" s="68" t="s">
        <v>57</v>
      </c>
      <c r="H23" s="68">
        <v>2785000</v>
      </c>
      <c r="I23" s="68"/>
      <c r="J23" s="95"/>
      <c r="L23" s="110">
        <v>5.08</v>
      </c>
      <c r="M23" s="43" t="s">
        <v>281</v>
      </c>
      <c r="N23" s="68" t="s">
        <v>375</v>
      </c>
      <c r="O23" s="68" t="s">
        <v>282</v>
      </c>
      <c r="P23" s="68" t="s">
        <v>327</v>
      </c>
      <c r="Q23" s="68" t="s">
        <v>327</v>
      </c>
      <c r="R23" s="68">
        <v>6.5</v>
      </c>
      <c r="S23" s="68">
        <v>36.4</v>
      </c>
      <c r="T23" s="68">
        <f>R23*S23</f>
        <v>236.6</v>
      </c>
      <c r="U23" s="112">
        <v>277</v>
      </c>
    </row>
    <row r="24" spans="1:21" x14ac:dyDescent="0.25">
      <c r="A24" s="66"/>
      <c r="B24" s="67"/>
      <c r="C24" s="68"/>
      <c r="D24" s="68"/>
      <c r="E24" s="68" t="s">
        <v>267</v>
      </c>
      <c r="F24" s="36" t="s">
        <v>268</v>
      </c>
      <c r="G24" s="68" t="s">
        <v>57</v>
      </c>
      <c r="H24" s="68">
        <v>2540000</v>
      </c>
      <c r="I24" s="68">
        <v>1</v>
      </c>
      <c r="J24" s="95"/>
      <c r="L24" s="110"/>
      <c r="M24" s="67"/>
      <c r="N24" s="68"/>
      <c r="O24" s="119" t="s">
        <v>376</v>
      </c>
      <c r="P24" s="68">
        <v>0.04</v>
      </c>
      <c r="Q24" s="68">
        <v>1174</v>
      </c>
      <c r="R24" s="109">
        <f>P24*Q24</f>
        <v>46.96</v>
      </c>
      <c r="S24" s="68">
        <v>2.4300000000000002</v>
      </c>
      <c r="T24" s="68"/>
      <c r="U24" s="112" t="s">
        <v>363</v>
      </c>
    </row>
    <row r="25" spans="1:21" ht="19.5" thickBot="1" x14ac:dyDescent="0.3">
      <c r="A25" s="72"/>
      <c r="B25" s="73"/>
      <c r="C25" s="74"/>
      <c r="D25" s="74"/>
      <c r="E25" s="74"/>
      <c r="F25" s="74" t="s">
        <v>152</v>
      </c>
      <c r="G25" s="74" t="s">
        <v>57</v>
      </c>
      <c r="H25" s="96">
        <f>SUMPRODUCT(H19:H24,I19:I24)</f>
        <v>2540000</v>
      </c>
      <c r="I25" s="74"/>
      <c r="J25" s="97"/>
      <c r="L25" s="110"/>
      <c r="M25" s="67"/>
      <c r="N25" s="98"/>
      <c r="O25" s="119" t="s">
        <v>364</v>
      </c>
      <c r="P25" s="68">
        <v>5.0000000000000001E-3</v>
      </c>
      <c r="Q25" s="68">
        <v>1590</v>
      </c>
      <c r="R25" s="109">
        <f>P25*Q25</f>
        <v>7.95</v>
      </c>
      <c r="S25" s="68">
        <v>1.26</v>
      </c>
      <c r="T25" s="68"/>
      <c r="U25" s="112"/>
    </row>
    <row r="26" spans="1:21" x14ac:dyDescent="0.25">
      <c r="A26" s="61">
        <v>5.04</v>
      </c>
      <c r="B26" s="62" t="s">
        <v>269</v>
      </c>
      <c r="C26" s="63" t="s">
        <v>270</v>
      </c>
      <c r="D26" s="63" t="s">
        <v>271</v>
      </c>
      <c r="E26" s="63">
        <v>230350</v>
      </c>
      <c r="F26" s="63" t="s">
        <v>272</v>
      </c>
      <c r="G26" s="63" t="s">
        <v>57</v>
      </c>
      <c r="H26" s="63">
        <v>2403000</v>
      </c>
      <c r="I26" s="63">
        <v>1</v>
      </c>
      <c r="J26" s="94"/>
      <c r="L26" s="113"/>
      <c r="M26" s="132"/>
      <c r="N26" s="133"/>
      <c r="O26" s="116"/>
      <c r="P26" s="116"/>
      <c r="Q26" s="116"/>
      <c r="R26" s="116"/>
      <c r="S26" s="116"/>
      <c r="T26" s="116"/>
      <c r="U26" s="115"/>
    </row>
    <row r="27" spans="1:21" x14ac:dyDescent="0.25">
      <c r="A27" s="66"/>
      <c r="B27" s="67"/>
      <c r="C27" s="68"/>
      <c r="D27" s="68"/>
      <c r="E27" s="68">
        <v>230351</v>
      </c>
      <c r="F27" s="68" t="s">
        <v>273</v>
      </c>
      <c r="G27" s="68" t="s">
        <v>57</v>
      </c>
      <c r="H27" s="68">
        <v>1088000</v>
      </c>
      <c r="I27" s="68"/>
      <c r="J27" s="95"/>
    </row>
    <row r="28" spans="1:21" x14ac:dyDescent="0.25">
      <c r="A28" s="66"/>
      <c r="B28" s="67"/>
      <c r="C28" s="68"/>
      <c r="D28" s="68"/>
      <c r="E28" s="68">
        <v>230352</v>
      </c>
      <c r="F28" s="68" t="s">
        <v>274</v>
      </c>
      <c r="G28" s="68" t="s">
        <v>57</v>
      </c>
      <c r="H28" s="68">
        <v>895000</v>
      </c>
      <c r="I28" s="68">
        <v>1</v>
      </c>
      <c r="J28" s="95"/>
    </row>
    <row r="29" spans="1:21" ht="19.5" thickBot="1" x14ac:dyDescent="0.3">
      <c r="A29" s="72"/>
      <c r="B29" s="73"/>
      <c r="C29" s="74"/>
      <c r="D29" s="74"/>
      <c r="E29" s="74"/>
      <c r="F29" s="74" t="s">
        <v>152</v>
      </c>
      <c r="G29" s="74" t="s">
        <v>57</v>
      </c>
      <c r="H29" s="96">
        <f>SUMPRODUCT(H26:H28,I26:I28)</f>
        <v>3298000</v>
      </c>
      <c r="I29" s="74"/>
      <c r="J29" s="97"/>
    </row>
    <row r="30" spans="1:21" x14ac:dyDescent="0.25">
      <c r="A30" s="61">
        <v>5.0599999999999996</v>
      </c>
      <c r="B30" s="62" t="s">
        <v>275</v>
      </c>
      <c r="C30" s="63" t="s">
        <v>276</v>
      </c>
      <c r="D30" s="63" t="s">
        <v>277</v>
      </c>
      <c r="E30" s="63">
        <v>210403</v>
      </c>
      <c r="F30" s="63" t="s">
        <v>278</v>
      </c>
      <c r="G30" s="63" t="s">
        <v>57</v>
      </c>
      <c r="H30" s="63">
        <v>656500</v>
      </c>
      <c r="I30" s="63"/>
      <c r="J30" s="94"/>
    </row>
    <row r="31" spans="1:21" x14ac:dyDescent="0.25">
      <c r="A31" s="66"/>
      <c r="B31" s="67"/>
      <c r="C31" s="68"/>
      <c r="D31" s="68"/>
      <c r="E31" s="68">
        <v>210511</v>
      </c>
      <c r="F31" s="36" t="s">
        <v>279</v>
      </c>
      <c r="G31" s="68" t="s">
        <v>57</v>
      </c>
      <c r="H31" s="68">
        <v>772000</v>
      </c>
      <c r="I31" s="68">
        <v>1</v>
      </c>
      <c r="J31" s="95"/>
    </row>
    <row r="32" spans="1:21" x14ac:dyDescent="0.25">
      <c r="A32" s="66"/>
      <c r="B32" s="67"/>
      <c r="C32" s="68"/>
      <c r="D32" s="68"/>
      <c r="E32" s="68">
        <v>210513</v>
      </c>
      <c r="F32" s="68" t="s">
        <v>280</v>
      </c>
      <c r="G32" s="68" t="s">
        <v>57</v>
      </c>
      <c r="H32" s="68">
        <v>945000</v>
      </c>
      <c r="I32" s="68"/>
      <c r="J32" s="95"/>
    </row>
    <row r="33" spans="1:10" ht="19.5" thickBot="1" x14ac:dyDescent="0.3">
      <c r="A33" s="72"/>
      <c r="B33" s="73"/>
      <c r="C33" s="74"/>
      <c r="D33" s="74"/>
      <c r="E33" s="74"/>
      <c r="F33" s="74" t="s">
        <v>152</v>
      </c>
      <c r="G33" s="74" t="s">
        <v>57</v>
      </c>
      <c r="H33" s="96">
        <f>SUMPRODUCT(H30:H32,I30:I32)</f>
        <v>772000</v>
      </c>
      <c r="I33" s="74"/>
      <c r="J33" s="97"/>
    </row>
    <row r="34" spans="1:10" x14ac:dyDescent="0.25">
      <c r="A34" s="61">
        <v>5.08</v>
      </c>
      <c r="B34" s="62" t="s">
        <v>281</v>
      </c>
      <c r="C34" s="63" t="s">
        <v>282</v>
      </c>
      <c r="D34" s="63" t="s">
        <v>283</v>
      </c>
      <c r="E34" s="63">
        <v>191502</v>
      </c>
      <c r="F34" s="27" t="s">
        <v>284</v>
      </c>
      <c r="G34" s="63" t="s">
        <v>57</v>
      </c>
      <c r="H34" s="63">
        <v>1890000</v>
      </c>
      <c r="I34" s="63">
        <v>1</v>
      </c>
      <c r="J34" s="94"/>
    </row>
    <row r="35" spans="1:10" x14ac:dyDescent="0.25">
      <c r="A35" s="66"/>
      <c r="B35" s="67"/>
      <c r="C35" s="98"/>
      <c r="D35" s="68"/>
      <c r="E35" s="68">
        <v>191505</v>
      </c>
      <c r="F35" s="68" t="s">
        <v>285</v>
      </c>
      <c r="G35" s="68" t="s">
        <v>57</v>
      </c>
      <c r="H35" s="68">
        <v>157500</v>
      </c>
      <c r="I35" s="68"/>
      <c r="J35" s="95"/>
    </row>
    <row r="36" spans="1:10" ht="19.5" thickBot="1" x14ac:dyDescent="0.3">
      <c r="A36" s="72"/>
      <c r="B36" s="73"/>
      <c r="C36" s="99"/>
      <c r="D36" s="74"/>
      <c r="E36" s="74"/>
      <c r="F36" s="74" t="s">
        <v>152</v>
      </c>
      <c r="G36" s="74" t="s">
        <v>57</v>
      </c>
      <c r="H36" s="96">
        <f>SUMPRODUCT(H34:H35,I34:I35)</f>
        <v>1890000</v>
      </c>
      <c r="I36" s="74"/>
      <c r="J36" s="97"/>
    </row>
    <row r="37" spans="1:10" x14ac:dyDescent="0.25">
      <c r="C37"/>
    </row>
    <row r="38" spans="1:10" x14ac:dyDescent="0.25">
      <c r="C3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3"/>
  <sheetViews>
    <sheetView rightToLeft="1" zoomScale="70" zoomScaleNormal="70" workbookViewId="0">
      <selection activeCell="V1" sqref="V1:V1048576"/>
    </sheetView>
  </sheetViews>
  <sheetFormatPr defaultRowHeight="18.75" x14ac:dyDescent="0.25"/>
  <cols>
    <col min="1" max="1" width="9.140625" style="20"/>
    <col min="2" max="2" width="31.28515625" style="20" bestFit="1" customWidth="1"/>
    <col min="3" max="3" width="25.5703125" style="22" customWidth="1"/>
    <col min="4" max="4" width="9.140625" style="22"/>
    <col min="5" max="5" width="11.42578125" style="56" bestFit="1" customWidth="1"/>
    <col min="6" max="6" width="64" style="22" customWidth="1"/>
    <col min="7" max="7" width="9.140625" style="22"/>
    <col min="8" max="8" width="13.42578125" style="22" bestFit="1" customWidth="1"/>
    <col min="9" max="10" width="9.140625" style="20"/>
    <col min="11" max="11" width="9.140625" style="135"/>
    <col min="12" max="12" width="9.140625" style="20"/>
    <col min="13" max="13" width="19.140625" style="20" customWidth="1"/>
    <col min="14" max="21" width="9.140625" style="20"/>
    <col min="22" max="22" width="9.140625" style="135"/>
    <col min="23" max="16384" width="9.140625" style="20"/>
  </cols>
  <sheetData>
    <row r="1" spans="1:21" ht="38.25" x14ac:dyDescent="0.25">
      <c r="A1" s="59" t="s">
        <v>286</v>
      </c>
      <c r="B1" s="60" t="s">
        <v>287</v>
      </c>
      <c r="C1"/>
      <c r="D1"/>
      <c r="E1"/>
      <c r="F1"/>
      <c r="G1"/>
      <c r="H1"/>
      <c r="L1" s="59" t="s">
        <v>286</v>
      </c>
      <c r="M1" s="60" t="s">
        <v>287</v>
      </c>
      <c r="N1"/>
      <c r="O1"/>
      <c r="P1"/>
      <c r="Q1"/>
      <c r="R1"/>
      <c r="S1"/>
    </row>
    <row r="2" spans="1:21" ht="19.5" x14ac:dyDescent="0.25">
      <c r="A2" s="20" t="s">
        <v>43</v>
      </c>
      <c r="B2" s="20" t="s">
        <v>44</v>
      </c>
      <c r="C2" s="22" t="s">
        <v>45</v>
      </c>
      <c r="D2" s="22" t="s">
        <v>46</v>
      </c>
      <c r="E2" s="22" t="s">
        <v>47</v>
      </c>
      <c r="F2" s="22" t="s">
        <v>48</v>
      </c>
      <c r="G2" s="22" t="s">
        <v>49</v>
      </c>
      <c r="H2" s="22" t="s">
        <v>50</v>
      </c>
      <c r="I2" s="22" t="s">
        <v>51</v>
      </c>
      <c r="J2" s="22" t="s">
        <v>52</v>
      </c>
      <c r="L2" s="20" t="s">
        <v>43</v>
      </c>
      <c r="M2" s="20" t="s">
        <v>44</v>
      </c>
      <c r="N2" s="22" t="s">
        <v>45</v>
      </c>
      <c r="O2" s="22" t="s">
        <v>318</v>
      </c>
      <c r="P2" s="22" t="s">
        <v>319</v>
      </c>
      <c r="Q2" s="22" t="s">
        <v>320</v>
      </c>
      <c r="R2" s="22" t="s">
        <v>377</v>
      </c>
      <c r="S2" s="22" t="s">
        <v>322</v>
      </c>
      <c r="T2" s="22" t="s">
        <v>323</v>
      </c>
      <c r="U2" s="22" t="s">
        <v>324</v>
      </c>
    </row>
    <row r="3" spans="1:21" x14ac:dyDescent="0.25">
      <c r="A3" s="20">
        <v>6.01</v>
      </c>
      <c r="B3" s="20" t="s">
        <v>288</v>
      </c>
      <c r="C3" s="22" t="s">
        <v>289</v>
      </c>
      <c r="D3"/>
      <c r="E3"/>
      <c r="F3"/>
      <c r="G3"/>
      <c r="H3"/>
      <c r="L3" s="20">
        <v>6.01</v>
      </c>
      <c r="M3" s="20" t="s">
        <v>288</v>
      </c>
      <c r="N3" s="22" t="s">
        <v>289</v>
      </c>
      <c r="O3"/>
      <c r="P3"/>
      <c r="Q3"/>
      <c r="R3"/>
      <c r="S3"/>
    </row>
    <row r="4" spans="1:21" x14ac:dyDescent="0.25">
      <c r="A4" s="20">
        <v>6.02</v>
      </c>
      <c r="B4" s="20" t="s">
        <v>290</v>
      </c>
      <c r="C4" s="22" t="s">
        <v>291</v>
      </c>
      <c r="D4"/>
      <c r="E4"/>
      <c r="F4"/>
      <c r="G4"/>
      <c r="H4"/>
      <c r="I4" s="100"/>
      <c r="L4" s="20">
        <v>6.02</v>
      </c>
      <c r="M4" s="20" t="s">
        <v>290</v>
      </c>
      <c r="N4" s="22" t="s">
        <v>291</v>
      </c>
      <c r="O4"/>
      <c r="P4"/>
      <c r="Q4"/>
      <c r="R4"/>
      <c r="S4"/>
      <c r="T4" s="100"/>
    </row>
    <row r="5" spans="1:21" x14ac:dyDescent="0.25">
      <c r="A5" s="20">
        <v>6.03</v>
      </c>
      <c r="B5" s="20" t="s">
        <v>292</v>
      </c>
      <c r="C5" s="22" t="s">
        <v>293</v>
      </c>
      <c r="D5"/>
      <c r="E5"/>
      <c r="F5"/>
      <c r="G5"/>
      <c r="H5"/>
      <c r="I5" s="100"/>
      <c r="L5" s="20">
        <v>6.03</v>
      </c>
      <c r="M5" s="20" t="s">
        <v>292</v>
      </c>
      <c r="N5" s="22" t="s">
        <v>293</v>
      </c>
      <c r="O5"/>
      <c r="P5"/>
      <c r="Q5"/>
      <c r="R5"/>
      <c r="S5"/>
      <c r="T5" s="100"/>
    </row>
    <row r="6" spans="1:21" x14ac:dyDescent="0.25">
      <c r="A6" s="20">
        <v>6.04</v>
      </c>
      <c r="B6" s="20" t="s">
        <v>294</v>
      </c>
      <c r="C6" s="22" t="s">
        <v>295</v>
      </c>
      <c r="D6"/>
      <c r="E6"/>
      <c r="F6"/>
      <c r="G6"/>
      <c r="H6"/>
      <c r="L6" s="20">
        <v>6.04</v>
      </c>
      <c r="M6" s="20" t="s">
        <v>294</v>
      </c>
      <c r="N6" s="22" t="s">
        <v>295</v>
      </c>
      <c r="O6"/>
      <c r="P6"/>
      <c r="Q6"/>
      <c r="R6"/>
      <c r="S6"/>
    </row>
    <row r="7" spans="1:21" x14ac:dyDescent="0.25">
      <c r="A7" s="20">
        <v>6.05</v>
      </c>
      <c r="B7" s="20" t="s">
        <v>296</v>
      </c>
      <c r="C7" s="22" t="s">
        <v>297</v>
      </c>
      <c r="D7"/>
      <c r="E7"/>
      <c r="F7"/>
      <c r="G7"/>
      <c r="H7"/>
      <c r="L7" s="20">
        <v>6.05</v>
      </c>
      <c r="M7" s="20" t="s">
        <v>296</v>
      </c>
      <c r="N7" s="22" t="s">
        <v>297</v>
      </c>
      <c r="O7"/>
      <c r="P7"/>
      <c r="Q7"/>
      <c r="R7"/>
      <c r="S7"/>
    </row>
    <row r="8" spans="1:21" ht="15" x14ac:dyDescent="0.25">
      <c r="C8"/>
      <c r="D8"/>
      <c r="E8"/>
      <c r="F8"/>
      <c r="G8"/>
      <c r="H8"/>
    </row>
    <row r="9" spans="1:21" ht="15" x14ac:dyDescent="0.25">
      <c r="C9"/>
      <c r="D9"/>
      <c r="E9"/>
      <c r="F9"/>
      <c r="G9"/>
      <c r="H9"/>
    </row>
    <row r="10" spans="1:21" ht="15" x14ac:dyDescent="0.25">
      <c r="C10"/>
      <c r="D10"/>
      <c r="E10"/>
      <c r="F10"/>
      <c r="G10"/>
      <c r="H10"/>
    </row>
    <row r="11" spans="1:21" ht="15" x14ac:dyDescent="0.25">
      <c r="C11"/>
      <c r="D11"/>
      <c r="E11"/>
      <c r="F11"/>
      <c r="G11"/>
      <c r="H11"/>
    </row>
    <row r="12" spans="1:21" ht="15" x14ac:dyDescent="0.25">
      <c r="C12"/>
      <c r="D12"/>
      <c r="E12"/>
      <c r="F12"/>
      <c r="G12"/>
      <c r="H12"/>
    </row>
    <row r="13" spans="1:21" ht="15" x14ac:dyDescent="0.25">
      <c r="C13"/>
      <c r="D13"/>
      <c r="E13"/>
      <c r="F13"/>
      <c r="G13"/>
      <c r="H13"/>
    </row>
    <row r="14" spans="1:21" ht="15" x14ac:dyDescent="0.25">
      <c r="C14"/>
      <c r="D14"/>
      <c r="E14"/>
      <c r="F14"/>
      <c r="G14"/>
      <c r="H14"/>
    </row>
    <row r="15" spans="1:21" ht="15" x14ac:dyDescent="0.25">
      <c r="C15"/>
      <c r="D15"/>
      <c r="E15"/>
      <c r="F15"/>
      <c r="G15"/>
      <c r="H15"/>
    </row>
    <row r="16" spans="1:21" x14ac:dyDescent="0.25">
      <c r="E16" s="58"/>
    </row>
    <row r="17" spans="5:5" x14ac:dyDescent="0.25">
      <c r="E17" s="58"/>
    </row>
    <row r="18" spans="5:5" x14ac:dyDescent="0.25">
      <c r="E18" s="58"/>
    </row>
    <row r="19" spans="5:5" x14ac:dyDescent="0.25">
      <c r="E19" s="58"/>
    </row>
    <row r="20" spans="5:5" x14ac:dyDescent="0.25">
      <c r="E20" s="58"/>
    </row>
    <row r="21" spans="5:5" x14ac:dyDescent="0.25">
      <c r="E21" s="58"/>
    </row>
    <row r="22" spans="5:5" x14ac:dyDescent="0.25">
      <c r="E22" s="58"/>
    </row>
    <row r="23" spans="5:5" x14ac:dyDescent="0.25">
      <c r="E23" s="58"/>
    </row>
    <row r="24" spans="5:5" x14ac:dyDescent="0.25">
      <c r="E24" s="58"/>
    </row>
    <row r="25" spans="5:5" x14ac:dyDescent="0.25">
      <c r="E25" s="58"/>
    </row>
    <row r="26" spans="5:5" x14ac:dyDescent="0.25">
      <c r="E26" s="58"/>
    </row>
    <row r="27" spans="5:5" x14ac:dyDescent="0.25">
      <c r="E27" s="58"/>
    </row>
    <row r="28" spans="5:5" x14ac:dyDescent="0.25">
      <c r="E28" s="58"/>
    </row>
    <row r="29" spans="5:5" x14ac:dyDescent="0.25">
      <c r="E29" s="58"/>
    </row>
    <row r="30" spans="5:5" x14ac:dyDescent="0.25">
      <c r="E30" s="58"/>
    </row>
    <row r="31" spans="5:5" x14ac:dyDescent="0.25">
      <c r="E31" s="58"/>
    </row>
    <row r="32" spans="5:5" x14ac:dyDescent="0.25">
      <c r="E32" s="58"/>
    </row>
    <row r="33" spans="5:5" x14ac:dyDescent="0.25">
      <c r="E33" s="5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5"/>
  <sheetViews>
    <sheetView rightToLeft="1" zoomScale="40" zoomScaleNormal="40" workbookViewId="0">
      <selection activeCell="F24" sqref="F24"/>
    </sheetView>
  </sheetViews>
  <sheetFormatPr defaultRowHeight="18.75" x14ac:dyDescent="0.25"/>
  <cols>
    <col min="1" max="1" width="14.7109375" style="20" bestFit="1" customWidth="1"/>
    <col min="2" max="2" width="31.28515625" style="20" bestFit="1" customWidth="1"/>
    <col min="3" max="3" width="25.5703125" style="22" customWidth="1"/>
    <col min="4" max="4" width="17.28515625" style="22" bestFit="1" customWidth="1"/>
    <col min="5" max="5" width="11.42578125" style="56" bestFit="1" customWidth="1"/>
    <col min="6" max="6" width="123.42578125" style="22" bestFit="1" customWidth="1"/>
    <col min="7" max="7" width="9.140625" style="22"/>
    <col min="8" max="8" width="13.42578125" style="22" bestFit="1" customWidth="1"/>
    <col min="9" max="10" width="9.140625" style="56"/>
    <col min="11" max="11" width="9.140625" style="135"/>
    <col min="12" max="12" width="14.7109375" style="20" bestFit="1" customWidth="1"/>
    <col min="13" max="13" width="14" style="20" bestFit="1" customWidth="1"/>
    <col min="14" max="14" width="27.85546875" style="20" bestFit="1" customWidth="1"/>
    <col min="15" max="21" width="9.140625" style="20"/>
    <col min="22" max="22" width="9.140625" style="135"/>
    <col min="23" max="16384" width="9.140625" style="20"/>
  </cols>
  <sheetData>
    <row r="1" spans="1:21" ht="38.25" customHeight="1" x14ac:dyDescent="0.25">
      <c r="A1" s="59" t="s">
        <v>298</v>
      </c>
      <c r="B1" s="101" t="s">
        <v>299</v>
      </c>
      <c r="C1" s="56"/>
      <c r="D1" s="56"/>
      <c r="F1" s="56"/>
      <c r="G1" s="56"/>
      <c r="H1" s="56"/>
      <c r="L1" s="59" t="s">
        <v>298</v>
      </c>
      <c r="M1" s="101" t="s">
        <v>299</v>
      </c>
      <c r="N1"/>
      <c r="O1"/>
      <c r="P1"/>
      <c r="Q1"/>
      <c r="R1"/>
      <c r="S1"/>
      <c r="U1" s="20" t="s">
        <v>317</v>
      </c>
    </row>
    <row r="2" spans="1:21" ht="20.25" thickBot="1" x14ac:dyDescent="0.3">
      <c r="A2" s="20" t="s">
        <v>43</v>
      </c>
      <c r="B2" s="20" t="s">
        <v>44</v>
      </c>
      <c r="C2" s="22" t="s">
        <v>45</v>
      </c>
      <c r="D2" s="22" t="s">
        <v>46</v>
      </c>
      <c r="E2" s="22" t="s">
        <v>47</v>
      </c>
      <c r="F2" s="22" t="s">
        <v>48</v>
      </c>
      <c r="G2" s="22" t="s">
        <v>49</v>
      </c>
      <c r="H2" s="22" t="s">
        <v>50</v>
      </c>
      <c r="I2" s="22" t="s">
        <v>51</v>
      </c>
      <c r="J2" s="22" t="s">
        <v>52</v>
      </c>
      <c r="L2" s="103" t="s">
        <v>43</v>
      </c>
      <c r="M2" s="103" t="s">
        <v>44</v>
      </c>
      <c r="N2" s="124" t="s">
        <v>45</v>
      </c>
      <c r="O2" s="124" t="s">
        <v>318</v>
      </c>
      <c r="P2" s="124" t="s">
        <v>319</v>
      </c>
      <c r="Q2" s="124" t="s">
        <v>320</v>
      </c>
      <c r="R2" s="124" t="s">
        <v>377</v>
      </c>
      <c r="S2" s="124" t="s">
        <v>322</v>
      </c>
      <c r="T2" s="124" t="s">
        <v>323</v>
      </c>
      <c r="U2" s="124" t="s">
        <v>324</v>
      </c>
    </row>
    <row r="3" spans="1:21" x14ac:dyDescent="0.25">
      <c r="A3" s="61">
        <v>7.01</v>
      </c>
      <c r="B3" s="62" t="s">
        <v>300</v>
      </c>
      <c r="C3" s="63" t="s">
        <v>301</v>
      </c>
      <c r="D3" s="64" t="s">
        <v>302</v>
      </c>
      <c r="E3" s="64">
        <v>140213</v>
      </c>
      <c r="F3" s="64" t="s">
        <v>303</v>
      </c>
      <c r="G3" s="64" t="s">
        <v>57</v>
      </c>
      <c r="H3" s="64">
        <v>202000</v>
      </c>
      <c r="I3" s="64"/>
      <c r="J3" s="65"/>
      <c r="L3" s="103">
        <v>7.01</v>
      </c>
      <c r="M3" s="103" t="s">
        <v>300</v>
      </c>
      <c r="N3" s="124" t="s">
        <v>301</v>
      </c>
      <c r="O3" s="124"/>
      <c r="P3" s="124">
        <v>0.05</v>
      </c>
      <c r="Q3" s="124">
        <v>20</v>
      </c>
      <c r="R3" s="124">
        <f>P3*Q3</f>
        <v>1</v>
      </c>
      <c r="S3" s="124">
        <v>82.6</v>
      </c>
      <c r="T3" s="124">
        <f>R3*S3</f>
        <v>82.6</v>
      </c>
      <c r="U3" s="124">
        <v>83</v>
      </c>
    </row>
    <row r="4" spans="1:21" ht="19.5" thickBot="1" x14ac:dyDescent="0.3">
      <c r="A4" s="72"/>
      <c r="B4" s="73"/>
      <c r="C4" s="74"/>
      <c r="D4" s="75"/>
      <c r="E4" s="75">
        <v>140214</v>
      </c>
      <c r="F4" s="75" t="s">
        <v>304</v>
      </c>
      <c r="G4" s="75" t="s">
        <v>67</v>
      </c>
      <c r="H4" s="75">
        <v>616000</v>
      </c>
      <c r="I4" s="75"/>
      <c r="J4" s="77"/>
      <c r="L4" s="103">
        <v>7.02</v>
      </c>
      <c r="M4" s="103" t="s">
        <v>305</v>
      </c>
      <c r="N4" s="124" t="s">
        <v>306</v>
      </c>
      <c r="O4" s="124"/>
      <c r="P4" s="124">
        <v>0.05</v>
      </c>
      <c r="Q4" s="124">
        <v>31</v>
      </c>
      <c r="R4" s="124">
        <f>P4*Q4</f>
        <v>1.55</v>
      </c>
      <c r="S4" s="124">
        <v>19.100000000000001</v>
      </c>
      <c r="T4" s="124">
        <f>R4*S4</f>
        <v>29.605000000000004</v>
      </c>
      <c r="U4" s="124">
        <v>30</v>
      </c>
    </row>
    <row r="5" spans="1:21" x14ac:dyDescent="0.25">
      <c r="A5" s="61">
        <v>7.02</v>
      </c>
      <c r="B5" s="62" t="s">
        <v>305</v>
      </c>
      <c r="C5" s="63" t="s">
        <v>306</v>
      </c>
      <c r="D5" s="64" t="s">
        <v>204</v>
      </c>
      <c r="E5" s="64">
        <v>140119</v>
      </c>
      <c r="F5" s="64" t="s">
        <v>205</v>
      </c>
      <c r="G5" s="64" t="s">
        <v>57</v>
      </c>
      <c r="H5" s="64">
        <v>372000</v>
      </c>
      <c r="I5" s="78"/>
      <c r="J5" s="65"/>
      <c r="L5" s="103">
        <v>7.03</v>
      </c>
      <c r="M5" s="103" t="s">
        <v>307</v>
      </c>
      <c r="N5" s="124" t="s">
        <v>308</v>
      </c>
      <c r="O5" s="124"/>
      <c r="P5" s="124">
        <v>0.05</v>
      </c>
      <c r="Q5" s="124">
        <v>15</v>
      </c>
      <c r="R5" s="124">
        <f>P5*Q5</f>
        <v>0.75</v>
      </c>
      <c r="S5" s="124"/>
      <c r="T5" s="124">
        <f>R5*S5</f>
        <v>0</v>
      </c>
      <c r="U5" s="124">
        <v>30</v>
      </c>
    </row>
    <row r="6" spans="1:21" ht="19.5" thickBot="1" x14ac:dyDescent="0.3">
      <c r="A6" s="72"/>
      <c r="B6" s="73"/>
      <c r="C6" s="74"/>
      <c r="D6" s="75"/>
      <c r="E6" s="75">
        <v>140120</v>
      </c>
      <c r="F6" s="75" t="s">
        <v>206</v>
      </c>
      <c r="G6" s="75" t="s">
        <v>67</v>
      </c>
      <c r="H6" s="75">
        <v>185000</v>
      </c>
      <c r="I6" s="80"/>
      <c r="J6" s="77"/>
      <c r="L6" s="103">
        <v>7.04</v>
      </c>
      <c r="M6" s="103" t="s">
        <v>312</v>
      </c>
      <c r="N6" s="124" t="s">
        <v>378</v>
      </c>
      <c r="O6" s="124"/>
      <c r="P6" s="124">
        <v>0.05</v>
      </c>
      <c r="Q6" s="124">
        <v>32</v>
      </c>
      <c r="R6" s="124">
        <f>P6*Q6</f>
        <v>1.6</v>
      </c>
      <c r="S6" s="124">
        <v>123</v>
      </c>
      <c r="T6" s="124">
        <f>R6*S6</f>
        <v>196.8</v>
      </c>
      <c r="U6" s="124">
        <v>197</v>
      </c>
    </row>
    <row r="7" spans="1:21" x14ac:dyDescent="0.25">
      <c r="A7" s="61">
        <v>7.03</v>
      </c>
      <c r="B7" s="62" t="s">
        <v>307</v>
      </c>
      <c r="C7" s="63" t="s">
        <v>308</v>
      </c>
      <c r="D7" s="64" t="s">
        <v>309</v>
      </c>
      <c r="E7" s="64">
        <v>140113</v>
      </c>
      <c r="F7" s="64" t="s">
        <v>310</v>
      </c>
      <c r="G7" s="64" t="s">
        <v>57</v>
      </c>
      <c r="H7" s="64">
        <v>294500</v>
      </c>
      <c r="I7" s="78"/>
      <c r="J7" s="65"/>
      <c r="L7" s="150" t="s">
        <v>327</v>
      </c>
      <c r="M7" s="151" t="s">
        <v>305</v>
      </c>
      <c r="N7" s="20" t="s">
        <v>379</v>
      </c>
      <c r="O7" s="22"/>
      <c r="P7" s="22"/>
      <c r="Q7" s="22">
        <v>15</v>
      </c>
      <c r="R7" s="22"/>
      <c r="S7" s="22"/>
      <c r="T7" s="22"/>
      <c r="U7" s="22"/>
    </row>
    <row r="8" spans="1:21" ht="19.5" thickBot="1" x14ac:dyDescent="0.3">
      <c r="A8" s="72"/>
      <c r="B8" s="73"/>
      <c r="C8" s="74"/>
      <c r="D8" s="75"/>
      <c r="E8" s="75">
        <v>140114</v>
      </c>
      <c r="F8" s="75" t="s">
        <v>311</v>
      </c>
      <c r="G8" s="75" t="s">
        <v>67</v>
      </c>
      <c r="H8" s="75">
        <v>213500</v>
      </c>
      <c r="I8" s="80"/>
      <c r="J8" s="77"/>
      <c r="L8" s="151"/>
      <c r="M8" s="151"/>
      <c r="N8" s="20" t="s">
        <v>380</v>
      </c>
      <c r="O8" s="22"/>
      <c r="P8" s="22"/>
      <c r="Q8" s="22">
        <v>37</v>
      </c>
      <c r="R8" s="22"/>
      <c r="S8" s="22"/>
      <c r="T8" s="22"/>
      <c r="U8" s="22"/>
    </row>
    <row r="9" spans="1:21" x14ac:dyDescent="0.25">
      <c r="A9" s="61">
        <v>7.04</v>
      </c>
      <c r="B9" s="62" t="s">
        <v>312</v>
      </c>
      <c r="C9" s="63" t="s">
        <v>313</v>
      </c>
      <c r="D9" s="64" t="s">
        <v>314</v>
      </c>
      <c r="E9" s="64">
        <v>140211</v>
      </c>
      <c r="F9" s="64" t="s">
        <v>315</v>
      </c>
      <c r="G9" s="64" t="s">
        <v>57</v>
      </c>
      <c r="H9" s="64">
        <v>615000</v>
      </c>
      <c r="I9" s="64"/>
      <c r="J9" s="65"/>
    </row>
    <row r="10" spans="1:21" ht="19.5" thickBot="1" x14ac:dyDescent="0.3">
      <c r="A10" s="72"/>
      <c r="B10" s="73"/>
      <c r="C10" s="74"/>
      <c r="D10" s="75"/>
      <c r="E10" s="75">
        <v>140212</v>
      </c>
      <c r="F10" s="75" t="s">
        <v>316</v>
      </c>
      <c r="G10" s="75" t="s">
        <v>67</v>
      </c>
      <c r="H10" s="75">
        <v>1227000</v>
      </c>
      <c r="I10" s="75"/>
      <c r="J10" s="77"/>
    </row>
    <row r="11" spans="1:21" ht="18" x14ac:dyDescent="0.25">
      <c r="C11" s="56"/>
      <c r="D11" s="56"/>
      <c r="F11" s="56"/>
      <c r="G11" s="56"/>
      <c r="H11" s="56"/>
    </row>
    <row r="12" spans="1:21" ht="18" x14ac:dyDescent="0.25">
      <c r="C12" s="56"/>
      <c r="D12" s="56"/>
      <c r="F12" s="56"/>
      <c r="G12" s="56"/>
      <c r="H12" s="56"/>
    </row>
    <row r="13" spans="1:21" ht="18" x14ac:dyDescent="0.25">
      <c r="C13" s="56"/>
      <c r="D13" s="56"/>
      <c r="F13" s="56"/>
      <c r="G13" s="56"/>
      <c r="H13" s="56"/>
    </row>
    <row r="14" spans="1:21" ht="18" x14ac:dyDescent="0.25">
      <c r="C14" s="56"/>
      <c r="D14" s="56"/>
      <c r="F14" s="56"/>
      <c r="G14" s="56"/>
      <c r="H14" s="56"/>
    </row>
    <row r="15" spans="1:21" ht="18" x14ac:dyDescent="0.25">
      <c r="C15" s="56"/>
      <c r="D15" s="56"/>
      <c r="F15" s="56"/>
      <c r="G15" s="56"/>
      <c r="H15" s="56"/>
    </row>
    <row r="16" spans="1:21" ht="18" x14ac:dyDescent="0.25">
      <c r="C16" s="56"/>
      <c r="D16" s="56"/>
      <c r="F16" s="56"/>
      <c r="G16" s="56"/>
      <c r="H16" s="56"/>
    </row>
    <row r="17" spans="3:8" ht="18" x14ac:dyDescent="0.25">
      <c r="C17" s="56"/>
      <c r="D17" s="56"/>
      <c r="F17" s="56"/>
      <c r="G17" s="56"/>
      <c r="H17" s="56"/>
    </row>
    <row r="18" spans="3:8" x14ac:dyDescent="0.25">
      <c r="E18" s="58"/>
    </row>
    <row r="19" spans="3:8" x14ac:dyDescent="0.25">
      <c r="E19" s="58"/>
    </row>
    <row r="20" spans="3:8" x14ac:dyDescent="0.25">
      <c r="E20" s="58"/>
    </row>
    <row r="21" spans="3:8" x14ac:dyDescent="0.25">
      <c r="E21" s="58"/>
    </row>
    <row r="22" spans="3:8" x14ac:dyDescent="0.25">
      <c r="E22" s="58"/>
    </row>
    <row r="23" spans="3:8" x14ac:dyDescent="0.25">
      <c r="E23" s="58"/>
    </row>
    <row r="24" spans="3:8" x14ac:dyDescent="0.25">
      <c r="E24" s="58"/>
    </row>
    <row r="25" spans="3:8" x14ac:dyDescent="0.25">
      <c r="E25" s="58"/>
    </row>
    <row r="26" spans="3:8" x14ac:dyDescent="0.25">
      <c r="E26" s="58"/>
    </row>
    <row r="27" spans="3:8" x14ac:dyDescent="0.25">
      <c r="E27" s="58"/>
    </row>
    <row r="28" spans="3:8" x14ac:dyDescent="0.25">
      <c r="E28" s="58"/>
    </row>
    <row r="29" spans="3:8" x14ac:dyDescent="0.25">
      <c r="E29" s="58"/>
    </row>
    <row r="30" spans="3:8" x14ac:dyDescent="0.25">
      <c r="E30" s="58"/>
    </row>
    <row r="31" spans="3:8" x14ac:dyDescent="0.25">
      <c r="E31" s="58"/>
    </row>
    <row r="32" spans="3:8" x14ac:dyDescent="0.25">
      <c r="E32" s="58"/>
    </row>
    <row r="33" spans="5:5" x14ac:dyDescent="0.25">
      <c r="E33" s="58"/>
    </row>
    <row r="34" spans="5:5" x14ac:dyDescent="0.25">
      <c r="E34" s="58"/>
    </row>
    <row r="35" spans="5:5" x14ac:dyDescent="0.25">
      <c r="E35" s="58"/>
    </row>
  </sheetData>
  <mergeCells count="2">
    <mergeCell ref="L7:L8"/>
    <mergeCell ref="M7:M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rightToLeft="1" workbookViewId="0">
      <selection sqref="A1:A31"/>
    </sheetView>
  </sheetViews>
  <sheetFormatPr defaultRowHeight="15" x14ac:dyDescent="0.25"/>
  <cols>
    <col min="2" max="2" width="19.85546875" bestFit="1" customWidth="1"/>
  </cols>
  <sheetData>
    <row r="1" spans="1:3" x14ac:dyDescent="0.25">
      <c r="A1">
        <v>1</v>
      </c>
      <c r="B1" s="148" t="s">
        <v>392</v>
      </c>
      <c r="C1" s="1">
        <v>3.2307692307692317</v>
      </c>
    </row>
    <row r="2" spans="1:3" x14ac:dyDescent="0.25">
      <c r="A2">
        <v>2</v>
      </c>
      <c r="B2" s="148" t="s">
        <v>392</v>
      </c>
      <c r="C2" s="1">
        <v>3.2307692307692317</v>
      </c>
    </row>
    <row r="3" spans="1:3" x14ac:dyDescent="0.25">
      <c r="A3">
        <v>3</v>
      </c>
      <c r="B3" s="148" t="s">
        <v>392</v>
      </c>
      <c r="C3" s="1">
        <v>3.2307692307692317</v>
      </c>
    </row>
    <row r="4" spans="1:3" x14ac:dyDescent="0.25">
      <c r="A4">
        <v>4</v>
      </c>
      <c r="B4" s="148" t="s">
        <v>395</v>
      </c>
      <c r="C4" s="1">
        <v>4.4372469635627541</v>
      </c>
    </row>
    <row r="5" spans="1:3" x14ac:dyDescent="0.25">
      <c r="A5">
        <v>5</v>
      </c>
      <c r="B5" s="148" t="s">
        <v>394</v>
      </c>
      <c r="C5" s="1">
        <v>3.7246963562753046</v>
      </c>
    </row>
    <row r="6" spans="1:3" x14ac:dyDescent="0.25">
      <c r="A6">
        <v>6</v>
      </c>
      <c r="B6" s="148" t="s">
        <v>393</v>
      </c>
      <c r="C6" s="1">
        <v>2.9595141700404866</v>
      </c>
    </row>
    <row r="7" spans="1:3" x14ac:dyDescent="0.25">
      <c r="A7">
        <v>7</v>
      </c>
      <c r="B7" s="148" t="s">
        <v>396</v>
      </c>
      <c r="C7" s="1">
        <v>3.6599190283400813</v>
      </c>
    </row>
    <row r="8" spans="1:3" x14ac:dyDescent="0.25">
      <c r="A8">
        <v>8</v>
      </c>
      <c r="B8" s="148" t="s">
        <v>412</v>
      </c>
      <c r="C8" s="1">
        <v>3.2550607287449398</v>
      </c>
    </row>
    <row r="9" spans="1:3" x14ac:dyDescent="0.25">
      <c r="A9">
        <v>9</v>
      </c>
      <c r="B9" s="148" t="s">
        <v>407</v>
      </c>
      <c r="C9" s="1">
        <v>3.4291497975708509</v>
      </c>
    </row>
    <row r="10" spans="1:3" x14ac:dyDescent="0.25">
      <c r="A10">
        <v>10</v>
      </c>
      <c r="B10" s="148" t="s">
        <v>409</v>
      </c>
      <c r="C10" s="1">
        <v>3.9919028340080978</v>
      </c>
    </row>
    <row r="11" spans="1:3" x14ac:dyDescent="0.25">
      <c r="A11">
        <v>11</v>
      </c>
      <c r="B11" s="148" t="s">
        <v>410</v>
      </c>
      <c r="C11" s="1">
        <v>2.004048582995952</v>
      </c>
    </row>
    <row r="12" spans="1:3" x14ac:dyDescent="0.25">
      <c r="A12">
        <v>12</v>
      </c>
      <c r="B12" s="148" t="s">
        <v>411</v>
      </c>
      <c r="C12" s="1">
        <v>4.1093117408906892</v>
      </c>
    </row>
    <row r="13" spans="1:3" x14ac:dyDescent="0.25">
      <c r="A13">
        <v>13</v>
      </c>
      <c r="B13" s="148" t="s">
        <v>408</v>
      </c>
      <c r="C13" s="1">
        <v>3.2408906882591104</v>
      </c>
    </row>
    <row r="14" spans="1:3" x14ac:dyDescent="0.25">
      <c r="A14">
        <v>14</v>
      </c>
      <c r="B14" s="148" t="s">
        <v>398</v>
      </c>
      <c r="C14" s="1">
        <v>2.5708502024291495</v>
      </c>
    </row>
    <row r="15" spans="1:3" x14ac:dyDescent="0.25">
      <c r="A15">
        <v>15</v>
      </c>
      <c r="B15" s="148" t="s">
        <v>397</v>
      </c>
      <c r="C15" s="1">
        <v>2.2307692307692308</v>
      </c>
    </row>
    <row r="16" spans="1:3" x14ac:dyDescent="0.25">
      <c r="A16">
        <v>16</v>
      </c>
      <c r="B16" s="148" t="s">
        <v>404</v>
      </c>
      <c r="C16" s="1">
        <v>4.3198380566801617</v>
      </c>
    </row>
    <row r="17" spans="1:3" x14ac:dyDescent="0.25">
      <c r="A17">
        <v>17</v>
      </c>
      <c r="B17" s="148" t="s">
        <v>401</v>
      </c>
      <c r="C17" s="1">
        <v>3.9716599190283408</v>
      </c>
    </row>
    <row r="18" spans="1:3" x14ac:dyDescent="0.25">
      <c r="A18">
        <v>18</v>
      </c>
      <c r="B18" s="148" t="s">
        <v>399</v>
      </c>
      <c r="C18" s="1">
        <v>3.5222672064777338</v>
      </c>
    </row>
    <row r="19" spans="1:3" x14ac:dyDescent="0.25">
      <c r="A19">
        <v>19</v>
      </c>
      <c r="B19" s="148" t="s">
        <v>400</v>
      </c>
      <c r="C19" s="1">
        <v>3.9109311740890691</v>
      </c>
    </row>
    <row r="20" spans="1:3" x14ac:dyDescent="0.25">
      <c r="A20">
        <v>20</v>
      </c>
      <c r="B20" s="148" t="s">
        <v>403</v>
      </c>
      <c r="C20" s="1">
        <v>4.7935222672064777</v>
      </c>
    </row>
    <row r="21" spans="1:3" x14ac:dyDescent="0.25">
      <c r="A21">
        <v>21</v>
      </c>
      <c r="B21" s="148" t="s">
        <v>405</v>
      </c>
      <c r="C21" s="1">
        <v>3.4251012145748998</v>
      </c>
    </row>
    <row r="22" spans="1:3" x14ac:dyDescent="0.25">
      <c r="A22">
        <v>22</v>
      </c>
      <c r="B22" s="148" t="s">
        <v>406</v>
      </c>
      <c r="C22" s="1">
        <v>3.8825910931174095</v>
      </c>
    </row>
    <row r="23" spans="1:3" x14ac:dyDescent="0.25">
      <c r="A23">
        <v>23</v>
      </c>
      <c r="B23" s="148" t="s">
        <v>402</v>
      </c>
      <c r="C23" s="1">
        <v>4.1700404858299613</v>
      </c>
    </row>
    <row r="24" spans="1:3" x14ac:dyDescent="0.25">
      <c r="A24">
        <v>24</v>
      </c>
      <c r="B24" s="148" t="s">
        <v>398</v>
      </c>
      <c r="C24" s="1">
        <v>2.5708502024291495</v>
      </c>
    </row>
    <row r="25" spans="1:3" x14ac:dyDescent="0.25">
      <c r="A25">
        <v>25</v>
      </c>
      <c r="B25" s="148" t="s">
        <v>397</v>
      </c>
      <c r="C25" s="1">
        <v>2.2307692307692308</v>
      </c>
    </row>
    <row r="26" spans="1:3" x14ac:dyDescent="0.25">
      <c r="A26">
        <v>26</v>
      </c>
      <c r="B26" s="148" t="s">
        <v>404</v>
      </c>
      <c r="C26" s="1">
        <v>4.3198380566801617</v>
      </c>
    </row>
    <row r="27" spans="1:3" x14ac:dyDescent="0.25">
      <c r="A27">
        <v>27</v>
      </c>
      <c r="B27" s="148" t="s">
        <v>401</v>
      </c>
      <c r="C27" s="1">
        <v>3.9716599190283408</v>
      </c>
    </row>
    <row r="28" spans="1:3" x14ac:dyDescent="0.25">
      <c r="A28">
        <v>28</v>
      </c>
      <c r="B28" s="148" t="s">
        <v>399</v>
      </c>
      <c r="C28" s="1">
        <v>3.5222672064777338</v>
      </c>
    </row>
    <row r="29" spans="1:3" x14ac:dyDescent="0.25">
      <c r="A29">
        <v>29</v>
      </c>
      <c r="B29" s="148" t="s">
        <v>400</v>
      </c>
      <c r="C29" s="1">
        <v>3.9109311740890691</v>
      </c>
    </row>
    <row r="30" spans="1:3" x14ac:dyDescent="0.25">
      <c r="A30">
        <v>30</v>
      </c>
      <c r="B30" s="148" t="s">
        <v>403</v>
      </c>
      <c r="C30" s="1">
        <v>4.7935222672064777</v>
      </c>
    </row>
    <row r="31" spans="1:3" x14ac:dyDescent="0.25">
      <c r="A31">
        <v>31</v>
      </c>
      <c r="B31" s="148" t="s">
        <v>402</v>
      </c>
      <c r="C31" s="1">
        <v>4.1700404858299613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Database</vt:lpstr>
      <vt:lpstr>M01</vt:lpstr>
      <vt:lpstr>M02</vt:lpstr>
      <vt:lpstr>M03</vt:lpstr>
      <vt:lpstr>M04</vt:lpstr>
      <vt:lpstr>M05</vt:lpstr>
      <vt:lpstr>M06</vt:lpstr>
      <vt:lpstr>M07&amp;M08</vt:lpstr>
      <vt:lpstr>Social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2021-08-04T14:48:54Z</dcterms:modified>
</cp:coreProperties>
</file>